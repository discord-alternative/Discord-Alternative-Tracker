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Local git\Discord-Alternative-Tracker\data\"/>
    </mc:Choice>
  </mc:AlternateContent>
  <xr:revisionPtr revIDLastSave="0" documentId="8_{CC488010-3A09-4BED-B487-B9C879D55927}" xr6:coauthVersionLast="47" xr6:coauthVersionMax="47" xr10:uidLastSave="{00000000-0000-0000-0000-000000000000}"/>
  <bookViews>
    <workbookView xWindow="15615" yWindow="1935" windowWidth="28305" windowHeight="18270" firstSheet="19" activeTab="22" xr2:uid="{00000000-000D-0000-FFFF-FFFF00000000}"/>
  </bookViews>
  <sheets>
    <sheet name="Sheet Directory" sheetId="1" r:id="rId1"/>
    <sheet name="At a Glance" sheetId="2" r:id="rId2"/>
    <sheet name="Comparison Guide" sheetId="3" r:id="rId3"/>
    <sheet name="Core Features" sheetId="4" r:id="rId4"/>
    <sheet name="Basic Features" sheetId="5" r:id="rId5"/>
    <sheet name="Advanced Features" sheetId="6" r:id="rId6"/>
    <sheet name="Channel Types" sheetId="7" r:id="rId7"/>
    <sheet name="Extra Features" sheetId="8" r:id="rId8"/>
    <sheet name="Embedded Apps" sheetId="9" r:id="rId9"/>
    <sheet name="Community Limits" sheetId="10" r:id="rId10"/>
    <sheet name="Voice &amp; Audio" sheetId="11" r:id="rId11"/>
    <sheet name="Voice Quality Detail" sheetId="12" r:id="rId12"/>
    <sheet name="Video &amp; Screen Sharing" sheetId="13" r:id="rId13"/>
    <sheet name="Screen Share Detail" sheetId="14" r:id="rId14"/>
    <sheet name="Media &amp; Limits" sheetId="15" r:id="rId15"/>
    <sheet name="Files &amp; Storage" sheetId="16" r:id="rId16"/>
    <sheet name="Platform Model &amp; Ecosystem" sheetId="17" r:id="rId17"/>
    <sheet name="Architecture &amp; Licensing" sheetId="18" r:id="rId18"/>
    <sheet name="Deployment Detail" sheetId="19" r:id="rId19"/>
    <sheet name="Client &amp; Distribution" sheetId="20" r:id="rId20"/>
    <sheet name="Performance &amp; Client Stack" sheetId="21" r:id="rId21"/>
    <sheet name="Accounts &amp; Identity" sheetId="22" r:id="rId22"/>
    <sheet name="Portability &amp; Bridging" sheetId="23" r:id="rId23"/>
    <sheet name="Interop &amp; Portability Details" sheetId="24" r:id="rId24"/>
    <sheet name="Security &amp; Privacy" sheetId="25" r:id="rId25"/>
    <sheet name="Encryption Details" sheetId="26" r:id="rId26"/>
    <sheet name="Security Matrix" sheetId="27" r:id="rId27"/>
    <sheet name="Security History &amp; Audits" sheetId="28" r:id="rId28"/>
    <sheet name="Moderation &amp; Safety" sheetId="29" r:id="rId29"/>
    <sheet name="Moderation Detail" sheetId="30" r:id="rId30"/>
    <sheet name="Project Origin &amp; Longevity" sheetId="31" r:id="rId31"/>
    <sheet name="Project &amp; Maintenance" sheetId="32" r:id="rId32"/>
    <sheet name="Maintenance &amp; Updates" sheetId="33" r:id="rId33"/>
    <sheet name="Developer Extensibility" sheetId="34" r:id="rId34"/>
    <sheet name="Developer API Detail" sheetId="35" r:id="rId35"/>
    <sheet name="AI Policy &amp; Transparency" sheetId="36" r:id="rId36"/>
    <sheet name="AI &amp; Data Use Detail" sheetId="37" r:id="rId37"/>
    <sheet name="Business Model &amp; Sustainability" sheetId="38" r:id="rId38"/>
    <sheet name="Pricing Summary" sheetId="39" r:id="rId39"/>
    <sheet name="Pricing &amp; Tiers" sheetId="40" r:id="rId40"/>
    <sheet name="Feature Entitlements" sheetId="41" r:id="rId41"/>
    <sheet name="Monetization Detail" sheetId="42" r:id="rId42"/>
    <sheet name="Terms &amp; Privacy" sheetId="43" r:id="rId43"/>
    <sheet name="Discord Sources" sheetId="44" r:id="rId44"/>
    <sheet name="Research Sources" sheetId="45" r:id="rId45"/>
    <sheet name="Website Links" sheetId="46" r:id="rId46"/>
    <sheet name="Verification Coverage" sheetId="47" r:id="rId47"/>
    <sheet name="Subreddit Discovery" sheetId="48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8" l="1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E58" i="1"/>
  <c r="E57" i="1"/>
  <c r="E56" i="1"/>
  <c r="E55" i="1"/>
  <c r="E54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7" i="1"/>
  <c r="E36" i="1"/>
  <c r="E35" i="1"/>
  <c r="E34" i="1"/>
  <c r="E33" i="1"/>
  <c r="E32" i="1"/>
  <c r="E30" i="1"/>
  <c r="E29" i="1"/>
  <c r="E28" i="1"/>
  <c r="E27" i="1"/>
  <c r="E26" i="1"/>
  <c r="E25" i="1"/>
  <c r="E24" i="1"/>
  <c r="E23" i="1"/>
  <c r="E21" i="1"/>
  <c r="E20" i="1"/>
  <c r="E19" i="1"/>
  <c r="E18" i="1"/>
  <c r="E17" i="1"/>
  <c r="E16" i="1"/>
  <c r="E14" i="1"/>
  <c r="E13" i="1"/>
  <c r="E12" i="1"/>
  <c r="E11" i="1"/>
  <c r="E10" i="1"/>
  <c r="E9" i="1"/>
  <c r="E8" i="1"/>
  <c r="E6" i="1"/>
  <c r="E5" i="1"/>
  <c r="E4" i="1"/>
</calcChain>
</file>

<file path=xl/sharedStrings.xml><?xml version="1.0" encoding="utf-8"?>
<sst xmlns="http://schemas.openxmlformats.org/spreadsheetml/2006/main" count="19890" uniqueCount="5878">
  <si>
    <t>Workbook Sheet Directory</t>
  </si>
  <si>
    <t>Category</t>
  </si>
  <si>
    <t>Sheet</t>
  </si>
  <si>
    <t>Purpose</t>
  </si>
  <si>
    <t>Tab Position</t>
  </si>
  <si>
    <t>Quick Jump</t>
  </si>
  <si>
    <t>00 — Navigation &amp; Summary</t>
  </si>
  <si>
    <t>Sheet Directory</t>
  </si>
  <si>
    <t>Categorical navigation map for the workbook.</t>
  </si>
  <si>
    <t>At a Glance</t>
  </si>
  <si>
    <t>Executive snapshot of major platform differences.</t>
  </si>
  <si>
    <t>Comparison Guide</t>
  </si>
  <si>
    <t>Definitions, evidence rules and comparison conventions.</t>
  </si>
  <si>
    <t>01 — Messaging &amp; Features</t>
  </si>
  <si>
    <t>Core Features</t>
  </si>
  <si>
    <t>Comparison/detail sheet.</t>
  </si>
  <si>
    <t>Basic Features</t>
  </si>
  <si>
    <t>Advanced Features</t>
  </si>
  <si>
    <t>Channel Types</t>
  </si>
  <si>
    <t>Extra Features</t>
  </si>
  <si>
    <t>Embedded Apps</t>
  </si>
  <si>
    <t>Community Limits</t>
  </si>
  <si>
    <t>02 — Voice, Video, Media &amp; Files</t>
  </si>
  <si>
    <t>Voice &amp; Audio</t>
  </si>
  <si>
    <t>Voice Quality Detail</t>
  </si>
  <si>
    <t>Video &amp; Screen Sharing</t>
  </si>
  <si>
    <t>Screen Share Detail</t>
  </si>
  <si>
    <t>Media &amp; Limits</t>
  </si>
  <si>
    <t>Files &amp; Storage</t>
  </si>
  <si>
    <t>03 — Architecture, Clients &amp; Interoperability</t>
  </si>
  <si>
    <t>Platform Model &amp; Ecosystem</t>
  </si>
  <si>
    <t>Architecture &amp; Licensing</t>
  </si>
  <si>
    <t>Deployment Detail</t>
  </si>
  <si>
    <t>Client &amp; Distribution</t>
  </si>
  <si>
    <t>Performance &amp; Client Stack</t>
  </si>
  <si>
    <t>Accounts &amp; Identity</t>
  </si>
  <si>
    <t>Portability &amp; Bridging</t>
  </si>
  <si>
    <t>Interop &amp; Portability Details</t>
  </si>
  <si>
    <t>04 — Security, Privacy &amp; Moderation</t>
  </si>
  <si>
    <t>Security &amp; Privacy</t>
  </si>
  <si>
    <t>Encryption Details</t>
  </si>
  <si>
    <t>Security Matrix</t>
  </si>
  <si>
    <t>Security History &amp; Audits</t>
  </si>
  <si>
    <t>Moderation &amp; Safety</t>
  </si>
  <si>
    <t>Moderation Detail</t>
  </si>
  <si>
    <t>05 — Project, Developer &amp; AI</t>
  </si>
  <si>
    <t>Project Origin &amp; Longevity</t>
  </si>
  <si>
    <t>Project &amp; Maintenance</t>
  </si>
  <si>
    <t>Maintenance &amp; Updates</t>
  </si>
  <si>
    <t>Developer Extensibility</t>
  </si>
  <si>
    <t>Developer API Detail</t>
  </si>
  <si>
    <t>AI Policy &amp; Transparency</t>
  </si>
  <si>
    <t>AI &amp; Data Use Detail</t>
  </si>
  <si>
    <t>06 — Business, Pricing &amp; Legal</t>
  </si>
  <si>
    <t>Business Model &amp; Sustainability</t>
  </si>
  <si>
    <t>Pricing Summary</t>
  </si>
  <si>
    <t>Pricing &amp; Tiers</t>
  </si>
  <si>
    <t>Feature Entitlements</t>
  </si>
  <si>
    <t>Monetization Detail</t>
  </si>
  <si>
    <t>Terms &amp; Privacy</t>
  </si>
  <si>
    <t>07 — Research &amp; Sources</t>
  </si>
  <si>
    <t>Discord Sources</t>
  </si>
  <si>
    <t>Discord-specific first-party evidence.</t>
  </si>
  <si>
    <t>Research Sources</t>
  </si>
  <si>
    <t>Detailed first-party/project evidence used across comparison rows.</t>
  </si>
  <si>
    <t>Website Links</t>
  </si>
  <si>
    <t>Official/project links grouped by source-page language; English default.</t>
  </si>
  <si>
    <t>Verification Coverage</t>
  </si>
  <si>
    <t>Before/after unknown counts for this first-party verification pass.</t>
  </si>
  <si>
    <t>Subreddit Discovery</t>
  </si>
  <si>
    <t>Discord</t>
  </si>
  <si>
    <t>Stoat</t>
  </si>
  <si>
    <t>Fenrid</t>
  </si>
  <si>
    <t>Fluxer</t>
  </si>
  <si>
    <t>Root</t>
  </si>
  <si>
    <t>Matrix</t>
  </si>
  <si>
    <t>Spacebar</t>
  </si>
  <si>
    <t>Mumble</t>
  </si>
  <si>
    <t>TeamSpeak</t>
  </si>
  <si>
    <t>Zulip</t>
  </si>
  <si>
    <t>Mattermost</t>
  </si>
  <si>
    <t>Rocket.Chat</t>
  </si>
  <si>
    <t>GameVox</t>
  </si>
  <si>
    <t>Nerimity</t>
  </si>
  <si>
    <t>Osmium</t>
  </si>
  <si>
    <t>Loqa</t>
  </si>
  <si>
    <t>Venta</t>
  </si>
  <si>
    <t>Mezon</t>
  </si>
  <si>
    <t>Kloak</t>
  </si>
  <si>
    <t>Yapper</t>
  </si>
  <si>
    <t>Harmony</t>
  </si>
  <si>
    <t>Roomy</t>
  </si>
  <si>
    <t>Armada</t>
  </si>
  <si>
    <t>Hollow</t>
  </si>
  <si>
    <t>DCTS</t>
  </si>
  <si>
    <t>Rift</t>
  </si>
  <si>
    <t>pqp.gg</t>
  </si>
  <si>
    <t>Echon</t>
  </si>
  <si>
    <t>Valour</t>
  </si>
  <si>
    <t>Weered</t>
  </si>
  <si>
    <t>Kaede Chat</t>
  </si>
  <si>
    <t>Executive Summary</t>
  </si>
  <si>
    <t>Core Discord-style messaging is implemented; public docs add federation-aware search, private media storage and moderation/audit behavior</t>
  </si>
  <si>
    <t>Inception Date</t>
  </si>
  <si>
    <t>May 2015</t>
  </si>
  <si>
    <t>2021 (as Revolt; rebranded Stoat in 2025)</t>
  </si>
  <si>
    <t>November 2025</t>
  </si>
  <si>
    <t>2020</t>
  </si>
  <si>
    <t>2014</t>
  </si>
  <si>
    <t>2021 (as Fosscord/Spacebar project era)</t>
  </si>
  <si>
    <t>2005</t>
  </si>
  <si>
    <t>1999 project origin</t>
  </si>
  <si>
    <t>2012</t>
  </si>
  <si>
    <t>2015</t>
  </si>
  <si>
    <t>2026 ground-up rebuild</t>
  </si>
  <si>
    <t>Summer 2024</t>
  </si>
  <si>
    <t>2026-era project</t>
  </si>
  <si>
    <t>Early 2026</t>
  </si>
  <si>
    <t>2026 fork era</t>
  </si>
  <si>
    <t>2026-era public project</t>
  </si>
  <si>
    <t>2023</t>
  </si>
  <si>
    <t>2026</t>
  </si>
  <si>
    <t>~2025</t>
  </si>
  <si>
    <t>≈ late 2025 (developer report: private use for nearly a year as of Sep 2026)</t>
  </si>
  <si>
    <t>Current State (α / β / Stable)</t>
  </si>
  <si>
    <t>Stable</t>
  </si>
  <si>
    <t>Beta / pre-1.0</t>
  </si>
  <si>
    <t>Alpha</t>
  </si>
  <si>
    <t>Public Beta</t>
  </si>
  <si>
    <t>Beta</t>
  </si>
  <si>
    <t>Stable open standard (spec v1.x)</t>
  </si>
  <si>
    <t>Alpha / WIP</t>
  </si>
  <si>
    <t>TS6 Beta; TS3 stable</t>
  </si>
  <si>
    <t>Open Beta</t>
  </si>
  <si>
    <t>Stable/public</t>
  </si>
  <si>
    <t>Alpha / Beta</t>
  </si>
  <si>
    <t>Early Alpha</t>
  </si>
  <si>
    <t>Alpha / experimental</t>
  </si>
  <si>
    <t>Beta / active development</t>
  </si>
  <si>
    <t>Beta / public</t>
  </si>
  <si>
    <t>Pre-launch / active development</t>
  </si>
  <si>
    <t>Hosting Architecture</t>
  </si>
  <si>
    <t>Centralized cloud service</t>
  </si>
  <si>
    <t>Hosted service + self-hostable independent instances</t>
  </si>
  <si>
    <t>Centralized hosted-first service</t>
  </si>
  <si>
    <t>Centralized hosted service</t>
  </si>
  <si>
    <t>Federated protocol/ecosystem; self-hosted or hosted homeservers</t>
  </si>
  <si>
    <t>Self-hosted independent Discord-compatible service</t>
  </si>
  <si>
    <t>Self-hosted client-server; third-party hosted servers available</t>
  </si>
  <si>
    <t>Self-hosted/hosted client-server</t>
  </si>
  <si>
    <t>Hosted cloud + self-hosted standalone servers</t>
  </si>
  <si>
    <t>Cloud + self-hosted/on-prem standalone workspaces</t>
  </si>
  <si>
    <t>Cloud + self-hosted/on-prem; optional federation</t>
  </si>
  <si>
    <t>Hosted + self-hosted</t>
  </si>
  <si>
    <t>Centralized hosted service; technically self-hostable but not intended/supported</t>
  </si>
  <si>
    <t>Centralized globally distributed/regional service</t>
  </si>
  <si>
    <t>Hosted + self-hosting option; federation-oriented</t>
  </si>
  <si>
    <t>Hosted now; self-hosting/federation being built</t>
  </si>
  <si>
    <t>Self-hosted first + optional managed hosting</t>
  </si>
  <si>
    <t>Self-hostable Discord-compatible service</t>
  </si>
  <si>
    <t>ATProto/Bluesky-connected distributed application</t>
  </si>
  <si>
    <t>Serverless-by-default Nostr/relay network; optional relay-backed communities</t>
  </si>
  <si>
    <t>Distributed local-first relay-based; self-hostable relay</t>
  </si>
  <si>
    <t>Self-hosted only; decentralized home-server messenger</t>
  </si>
  <si>
    <t>Hosted service + self-host</t>
  </si>
  <si>
    <t>Hosted + self-hostable node-based platform</t>
  </si>
  <si>
    <t>Centralized hosted platform</t>
  </si>
  <si>
    <t>Federated + self-hosted; official kaede.chat home instance also exists</t>
  </si>
  <si>
    <t>Client / Server License</t>
  </si>
  <si>
    <t>Proprietary / Proprietary</t>
  </si>
  <si>
    <t>FOSS (web client AGPL-3.0; clients vary) / FOSS (backend generally AGPL-3.0)</t>
  </si>
  <si>
    <t>Proprietary during alpha; open-source release planned / Proprietary during alpha; open-source release planned</t>
  </si>
  <si>
    <t>FOSS (AGPL-3.0) / FOSS (AGPL-3.0)</t>
  </si>
  <si>
    <t>Varies by client; many FOSS (e.g., Element, Element X, Cinny) / Varies by homeserver; Synapse is AGPLv3/commercial dual model</t>
  </si>
  <si>
    <t>FOSS (AGPL-3.0 project components) / FOSS (AGPL-3.0)</t>
  </si>
  <si>
    <t>FOSS (BSD-style / BSD-3-Clause) / FOSS (BSD-style / BSD-3-Clause)</t>
  </si>
  <si>
    <t>FOSS (Apache-2.0) / FOSS (Apache-2.0 server/web app)</t>
  </si>
  <si>
    <t>FOSS/open-source clients; exact repo license varies / Open source Team Edition / AGPL-source plus commercial Enterprise editions</t>
  </si>
  <si>
    <t>FOSS core client; MIT components / enterprise extensions / FOSS core (MIT) + enterprise-licensed portions</t>
  </si>
  <si>
    <t>FOSS GPL-family components / FOSS GPL-3.0 server/web components</t>
  </si>
  <si>
    <t>Client source planned; not yet fully public / Backend source public</t>
  </si>
  <si>
    <t>Open-source client code / Open-source server stack/components</t>
  </si>
  <si>
    <t>Fermi client is AGPL-licensed</t>
  </si>
  <si>
    <t>MPL-2.0 project / MPL-2.0 project/server components</t>
  </si>
  <si>
    <t>Open source / Open source/protocol components</t>
  </si>
  <si>
    <t>Open source / Open source relay/server</t>
  </si>
  <si>
    <t>FOSS AGPL-3.0 / FOSS AGPL-3.0</t>
  </si>
  <si>
    <t>AGPL open source / AGPL open source</t>
  </si>
  <si>
    <t>Proprietary / Proprietary Rust backend</t>
  </si>
  <si>
    <t>AGPL-3.0 / AGPL-3.0</t>
  </si>
  <si>
    <t>Source-available (Elastic 2.0); self-host allowed subject to license</t>
  </si>
  <si>
    <t>MIT</t>
  </si>
  <si>
    <t>Default E2EE (DMs)</t>
  </si>
  <si>
    <t>No for text DMs; DM voice/video calls are E2EE</t>
  </si>
  <si>
    <t>No default text E2EE verified</t>
  </si>
  <si>
    <t>Yes — DM text E2EE by default</t>
  </si>
  <si>
    <t>No — latest 2026 privacy policy says nothing is E2EE yet</t>
  </si>
  <si>
    <t>No text E2EE disclosed</t>
  </si>
  <si>
    <t>Supported by Matrix E2EE; default behavior is client-dependent</t>
  </si>
  <si>
    <t>No documented default text E2EE</t>
  </si>
  <si>
    <t>N/A — not a Discord-style persistent DM platform</t>
  </si>
  <si>
    <t>No native E2EE for server-stored chat</t>
  </si>
  <si>
    <t>No native E2EE for server-stored messages</t>
  </si>
  <si>
    <t>E2EE available for certain conversations but deployment/client constraints apply</t>
  </si>
  <si>
    <t>No text E2EE claim</t>
  </si>
  <si>
    <t>No public default E2EE verified</t>
  </si>
  <si>
    <t>No E2EE text claim</t>
  </si>
  <si>
    <t>Eligible content only — app displays E2EE status</t>
  </si>
  <si>
    <t>Default unencrypted; per-conversation E2EE planned/opt-in</t>
  </si>
  <si>
    <t>E2EE claimed</t>
  </si>
  <si>
    <t>E2EE not yet verified/currently WIP</t>
  </si>
  <si>
    <t>Server/operator controlled; E2EE not claimed</t>
  </si>
  <si>
    <t>No E2EE currently</t>
  </si>
  <si>
    <t>No E2EE chat claim verified</t>
  </si>
  <si>
    <t>Yes — E2EE community/DM design</t>
  </si>
  <si>
    <t>Yes</t>
  </si>
  <si>
    <t>Yes — desktop server DMs can be E2EE; decentralized messenger always E2EE</t>
  </si>
  <si>
    <t>Yes — DM text E2EE (Signal-style X3DH/Double Ratchet)</t>
  </si>
  <si>
    <t>No E2EE claim</t>
  </si>
  <si>
    <t>No default E2EE claim</t>
  </si>
  <si>
    <t>Optional MLS 1.0; not default</t>
  </si>
  <si>
    <t>Default E2EE (Channels)</t>
  </si>
  <si>
    <t>No for text channels/rooms; voice/video channels are E2EE except Stage</t>
  </si>
  <si>
    <t>No default channel E2EE</t>
  </si>
  <si>
    <t>No — server/community text channels are plaintext to server</t>
  </si>
  <si>
    <t>No</t>
  </si>
  <si>
    <t>Supported for encrypted rooms; not every room is encrypted</t>
  </si>
  <si>
    <t>No documented channel E2EE</t>
  </si>
  <si>
    <t>N/A</t>
  </si>
  <si>
    <t>Encrypted rooms supported locally; federation docs note E2EE is not supported across federated servers</t>
  </si>
  <si>
    <t>No channel text E2EE claim</t>
  </si>
  <si>
    <t>Eligible content only</t>
  </si>
  <si>
    <t>Yes — encrypted communities</t>
  </si>
  <si>
    <t>Encrypted private channels; public channels intentionally unencrypted</t>
  </si>
  <si>
    <t>Server channels generally not E2EE</t>
  </si>
  <si>
    <t>No — Shard/community channel text is encrypted at rest, not E2EE</t>
  </si>
  <si>
    <t>Max Screen Share (Free Res/FPS)</t>
  </si>
  <si>
    <t>720p / 30 fps</t>
  </si>
  <si>
    <t>720p Game Mode / Source mode / 30 fps Game Mode / 5 fps Source mode</t>
  </si>
  <si>
    <t>Varies by client / Varies by client</t>
  </si>
  <si>
    <t>N/A / N/A</t>
  </si>
  <si>
    <t>External call provider-dependent / Provider-dependent</t>
  </si>
  <si>
    <t>1080p / 30 fps</t>
  </si>
  <si>
    <t>Up to 1440p included</t>
  </si>
  <si>
    <t>In development / In development</t>
  </si>
  <si>
    <t>Up to 4K theoretical/configurable / Up to 60/120 depending docs/version</t>
  </si>
  <si>
    <t>1080p60 free; 1440p60 with Rift+</t>
  </si>
  <si>
    <t>Up to 1080p with sound free; up to 4 concurrent shares</t>
  </si>
  <si>
    <t>4K native Source preset at 30 FPS is publicly documented; browser Source has an 8K defensive bound. Developer questionnaire reported 4K60.</t>
  </si>
  <si>
    <t>Max Free File Upload Size</t>
  </si>
  <si>
    <t>Yes — Discord Markdown subset</t>
  </si>
  <si>
    <t>Client-dependent</t>
  </si>
  <si>
    <t>Yes/Discord-compatible target</t>
  </si>
  <si>
    <t>Configurable by server operator</t>
  </si>
  <si>
    <t>Yes/Discord-like</t>
  </si>
  <si>
    <t>34 MB direct P2P; larger via Hollow Share</t>
  </si>
  <si>
    <t>50 MB free; Rift+ 300 MB personal uploads; Shard tiers vary</t>
  </si>
  <si>
    <t>15 MB on official federated instance; self-host limits are configurable (developer report)</t>
  </si>
  <si>
    <t>Persistent Voice Rooms</t>
  </si>
  <si>
    <t>Yes — persistent server voice channels</t>
  </si>
  <si>
    <t>Client-dependent; many clients support calls/rooms</t>
  </si>
  <si>
    <t>Yes when optional voice package is installed</t>
  </si>
  <si>
    <t>Yes — voice channels are the core product</t>
  </si>
  <si>
    <t>No native persistent voice rooms</t>
  </si>
  <si>
    <t>Calls available; not Discord-style always-on voice-first UX</t>
  </si>
  <si>
    <t>Voice/video deployment/provider-dependent</t>
  </si>
  <si>
    <t>Partial</t>
  </si>
  <si>
    <t>No mature voice verified</t>
  </si>
  <si>
    <t>Calls, not persistent voice rooms</t>
  </si>
  <si>
    <t>Native AI Features</t>
  </si>
  <si>
    <t>Limited — experimental Conversation Summaries + AI/ML safety features</t>
  </si>
  <si>
    <t>No prominent native generative-AI feature verified</t>
  </si>
  <si>
    <t>No prominent native generative AI</t>
  </si>
  <si>
    <t>No native AI/LLM inference over content</t>
  </si>
  <si>
    <t>No prominent generative AI feature</t>
  </si>
  <si>
    <t>No Matrix-wide native AI; provider/client-specific</t>
  </si>
  <si>
    <t>None</t>
  </si>
  <si>
    <t>No prominent native generative AI verified</t>
  </si>
  <si>
    <t>None required</t>
  </si>
  <si>
    <t>Optional enterprise/integration AI</t>
  </si>
  <si>
    <t>Optional apps/integrations</t>
  </si>
  <si>
    <t>No native AI verified</t>
  </si>
  <si>
    <t>No prominent native AI verified</t>
  </si>
  <si>
    <t>Translation + transcription</t>
  </si>
  <si>
    <t>Yes — moderation/translation/summaries</t>
  </si>
  <si>
    <t>No AI reading/training</t>
  </si>
  <si>
    <t>No native AI advertised</t>
  </si>
  <si>
    <t>None verified</t>
  </si>
  <si>
    <t>Game-specific AI features</t>
  </si>
  <si>
    <t>User Data Scraped for AI Training?</t>
  </si>
  <si>
    <t>No — Discord states AI companies may not train models using user messages</t>
  </si>
  <si>
    <t>No — explicit privacy policy</t>
  </si>
  <si>
    <t>No — privacy policy says no model training</t>
  </si>
  <si>
    <t>Provider-specific — Matrix has no single data controller</t>
  </si>
  <si>
    <t>Self-host operator-controlled</t>
  </si>
  <si>
    <t>N/A — no central hosted content service</t>
  </si>
  <si>
    <t>Deployment/provider-specific</t>
  </si>
  <si>
    <t>No behavioral tracking; AI training not specifically documented</t>
  </si>
  <si>
    <t>No central training of self-host content</t>
  </si>
  <si>
    <t>N/A/self-host</t>
  </si>
  <si>
    <t>Provider-dependent</t>
  </si>
  <si>
    <t>Encrypted/no central host</t>
  </si>
  <si>
    <t>No central plaintext service</t>
  </si>
  <si>
    <t>Self-host controlled</t>
  </si>
  <si>
    <t>No — explicit no-training statement</t>
  </si>
  <si>
    <t>No — privacy policy says content not used for AI training</t>
  </si>
  <si>
    <t>No — developer states user data is not used for AI training</t>
  </si>
  <si>
    <t>Primary Business Model</t>
  </si>
  <si>
    <t>Freemium — Nitro/paid products + sponsored content</t>
  </si>
  <si>
    <t>Free and open source; no ads/data sales</t>
  </si>
  <si>
    <t>Freemium/subscription plans; alpha</t>
  </si>
  <si>
    <t>Subscriber/donor-funded freemium; no VC</t>
  </si>
  <si>
    <t>Private freemium + Sudo subscription</t>
  </si>
  <si>
    <t>Open protocol/foundation ecosystem + commercial providers</t>
  </si>
  <si>
    <t>Free open-source self-hosting</t>
  </si>
  <si>
    <t>Free open source; third-party hosting</t>
  </si>
  <si>
    <t>Commercial licenses/hosting</t>
  </si>
  <si>
    <t>Cloud subscriptions + open-source self-hosting</t>
  </si>
  <si>
    <t>Enterprise subscriptions + open-source/self-hosted editions</t>
  </si>
  <si>
    <t>Cloud/enterprise subscriptions + open-source core</t>
  </si>
  <si>
    <t>Free + self-host/server licensing</t>
  </si>
  <si>
    <t>Donation-funded free service</t>
  </si>
  <si>
    <t>Free core + Premium subscriptions; zero ads/no third-party data sharing</t>
  </si>
  <si>
    <t>Free core; optional managed self-hosting/premium planned</t>
  </si>
  <si>
    <t>Early open-source/community project</t>
  </si>
  <si>
    <t>Free platform / company-backed</t>
  </si>
  <si>
    <t>Free/community project</t>
  </si>
  <si>
    <t>Paid self-host license + managed hosting</t>
  </si>
  <si>
    <t>Free open-source volunteer project</t>
  </si>
  <si>
    <t>Open-source community project</t>
  </si>
  <si>
    <t>Open-source relay-based ecosystem</t>
  </si>
  <si>
    <t>Free open source / solo project</t>
  </si>
  <si>
    <t>Free AGPL self-hosting/donations</t>
  </si>
  <si>
    <t>Subscriptions, not advertising; no investors</t>
  </si>
  <si>
    <t>Free/open-source hosted beta + self-host</t>
  </si>
  <si>
    <t>Free/private early product</t>
  </si>
  <si>
    <t>Free + Stargazer subscriptions/Patreon</t>
  </si>
  <si>
    <t>Free core + paid custom/private lobby tiers</t>
  </si>
  <si>
    <t>Free/currently unmonetized; future monetization planned but not yet defined</t>
  </si>
  <si>
    <t>Discord Server Importer</t>
  </si>
  <si>
    <t>N/A — Discord is the source platform</t>
  </si>
  <si>
    <t>No verified first-party importer</t>
  </si>
  <si>
    <t>Planned/advertised template import</t>
  </si>
  <si>
    <t>No full importer verified</t>
  </si>
  <si>
    <t>Yes — Discord server template roles/channels/groups/permissions</t>
  </si>
  <si>
    <t>No protocol-level importer; third-party migration tools vary</t>
  </si>
  <si>
    <t>API compatibility rather than importer</t>
  </si>
  <si>
    <t>No — imports Slack/Mattermost/Rocket.Chat instead</t>
  </si>
  <si>
    <t>No verified Discord importer</t>
  </si>
  <si>
    <t>Yes — structural server importer</t>
  </si>
  <si>
    <t>Partial/template migration reported</t>
  </si>
  <si>
    <t>Yes — broad structural importer</t>
  </si>
  <si>
    <t>Bridge, not importer</t>
  </si>
  <si>
    <t>Bridge/copy support reported</t>
  </si>
  <si>
    <t>Yes — Discord template layout</t>
  </si>
  <si>
    <t>No dedicated importer; official live Discord bridge exists</t>
  </si>
  <si>
    <t>Standout Advantage vs. Discord</t>
  </si>
  <si>
    <t>Baseline/reference platform — N/A</t>
  </si>
  <si>
    <t>FOSS + self-hosting with Discord-like UX</t>
  </si>
  <si>
    <t>Default E2EE private DMs + built-in community/events focus</t>
  </si>
  <si>
    <t>Open source + self-hosting + Discord-like UX</t>
  </si>
  <si>
    <t>Very Discord-like migration path + integrated hosted Apps/Bots</t>
  </si>
  <si>
    <t>Open federated protocol, self-hosting, client choice, E2EE-capable rooms</t>
  </si>
  <si>
    <t>Discord API compatibility + complete operator control</t>
  </si>
  <si>
    <t>Mature low-latency self-hosted voice + positional audio</t>
  </si>
  <si>
    <t>Mature low-latency voice and self-hosted server control</t>
  </si>
  <si>
    <t>Exceptional topic-based organized text + open source/self-hosting</t>
  </si>
  <si>
    <t>Enterprise self-hosting/data sovereignty + mature admin tooling</t>
  </si>
  <si>
    <t>Self-hosting + enterprise collaboration + federation options</t>
  </si>
  <si>
    <t>Strong Discord migration tooling + self-hosting + voice focus</t>
  </si>
  <si>
    <t>Open source, lightweight Discord-like community chat</t>
  </si>
  <si>
    <t>Regional data placement + broad native client support</t>
  </si>
  <si>
    <t>Discord-like API compatibility + federation/self-hosting direction</t>
  </si>
  <si>
    <t>Open-source/self-host/federation direction</t>
  </si>
  <si>
    <t>Native high-performance clients + no-paywall media + built-in AI</t>
  </si>
  <si>
    <t>No-email/phone identity + privacy focus + rich channel types</t>
  </si>
  <si>
    <t>Self-hosted voice/chat/screen + spatial audio</t>
  </si>
  <si>
    <t>Open source + Discord API compatibility + client/server separation</t>
  </si>
  <si>
    <t>ATProto identity/data model + bidirectional Discord bridge + docs/gardening features</t>
  </si>
  <si>
    <t>Portable key identity + E2EE + no central host required</t>
  </si>
  <si>
    <t>Local-first E2EE + portable key identity + self-host relay</t>
  </si>
  <si>
    <t>Self-host-only + cross-server E2EE messenger + high configurable screen share</t>
  </si>
  <si>
    <t>No email/phone/ID + EXIF stripping + no AI training + portal workspace</t>
  </si>
  <si>
    <t>1080p free multi-screen sharing + open source/self-host + export</t>
  </si>
  <si>
    <t>Cross-platform LiveKit voice/chat/screen with Discord-like UX</t>
  </si>
  <si>
    <t>Fully open-source + self-host + importer + rich community features</t>
  </si>
  <si>
    <t>Game-native lobbies with deep API integrations and built-in voice/video</t>
  </si>
  <si>
    <t>Federation that feels like email, optional MLS E2EE, self-hosting, custom CSS/theme support</t>
  </si>
  <si>
    <t>Biggest Current Limitation</t>
  </si>
  <si>
    <t>Text messages are not E2EE; no self-hosting/federation; centralized proprietary service</t>
  </si>
  <si>
    <t>No federation; text E2EE not verified/default; feature completeness still maturing</t>
  </si>
  <si>
    <t>Alpha; proprietary today; no self-hosting/federation; cryptography still maturing</t>
  </si>
  <si>
    <t>Public beta; no text E2EE yet; federation not yet available</t>
  </si>
  <si>
    <t>Closed source, centralized, no text E2EE/self-hosting</t>
  </si>
  <si>
    <t>UX/features vary substantially by client/homeserver; no single Matrix app</t>
  </si>
  <si>
    <t>Alpha/WIP; separate instances do not federate; setup is technical</t>
  </si>
  <si>
    <t>Voice-first, not a full Discord community/text replacement</t>
  </si>
  <si>
    <t>Less Discord-like community/text ecosystem; TS6 is still beta</t>
  </si>
  <si>
    <t>Voice/video depend on external providers; less gaming/community oriented</t>
  </si>
  <si>
    <t>Not gaming/community-first; no native E2EE for server-stored messages</t>
  </si>
  <si>
    <t>Media/federation/E2EE behavior is deployment/version dependent; less Discord-like voice UX</t>
  </si>
  <si>
    <t>Proprietary; federation/text E2EE not verified</t>
  </si>
  <si>
    <t>No federation; self-hosting unsupported as a normal use case; limited media documentation</t>
  </si>
  <si>
    <t>Centralized/proprietary model; text E2EE/self-hosting not verified</t>
  </si>
  <si>
    <t>Early beta; mobile/export/federation details still evolving</t>
  </si>
  <si>
    <t>Experimental; federation/E2EE/client source are still in progress</t>
  </si>
  <si>
    <t>Centralized/closed source; E2EE deployment/audits not mature</t>
  </si>
  <si>
    <t>Proprietary and non-federated; smaller ecosystem</t>
  </si>
  <si>
    <t>Very early; web-only; voice/screenshare/federation/E2EE incomplete</t>
  </si>
  <si>
    <t>Early and text-focused; not yet a full Discord media replacement</t>
  </si>
  <si>
    <t>Young ecosystem; setup/relay/bot UX still maturing</t>
  </si>
  <si>
    <t>Very early/solo; no mature Discord migration or persistent voice-room ecosystem</t>
  </si>
  <si>
    <t>Centralized/closed source; E2EE and detailed media limits not published</t>
  </si>
  <si>
    <t>No federation/E2EE; early beta</t>
  </si>
  <si>
    <t>Centralized/closed source; privacy/crypto/audit details sparse</t>
  </si>
  <si>
    <t>Alpha; iOS/media/E2EE details incomplete</t>
  </si>
  <si>
    <t>Centralized/solo beta; no E2EE, self-hosting, federation or Discord migration</t>
  </si>
  <si>
    <t>Solo developer; developer reports brief backend downtime on some releases while zero-downtime work is in progress</t>
  </si>
  <si>
    <t>Platform Model Snapshot</t>
  </si>
  <si>
    <t>Federated home-instance model with one account usable across other Kaede homes</t>
  </si>
  <si>
    <t>Product Type</t>
  </si>
  <si>
    <t>Centralized proprietary communication service</t>
  </si>
  <si>
    <t>Hosted + self-hostable Discord-like service</t>
  </si>
  <si>
    <t>Centralized hosted community platform</t>
  </si>
  <si>
    <t>Centralized proprietary community platform</t>
  </si>
  <si>
    <t>Open federated communication protocol/ecosystem</t>
  </si>
  <si>
    <t>Self-hosted Discord-compatible service implementation</t>
  </si>
  <si>
    <t>Self-hosted low-latency voice protocol/application</t>
  </si>
  <si>
    <t>Commercial self-hosted/hosted voice communication platform</t>
  </si>
  <si>
    <t>Hosted + self-hosted team chat application</t>
  </si>
  <si>
    <t>Enterprise collaboration application; cloud or self-host</t>
  </si>
  <si>
    <t>Collaboration platform; cloud/self-host with optional federation</t>
  </si>
  <si>
    <t>Hosted + self-hostable gaming community platform</t>
  </si>
  <si>
    <t>Open-source centralized community chat application</t>
  </si>
  <si>
    <t>Centralized distributed-region community platform</t>
  </si>
  <si>
    <t>Discord-like hosted/self-host/federation-oriented community platform</t>
  </si>
  <si>
    <t>Discord-like platform moving from centralized to open-source/self-host/federated</t>
  </si>
  <si>
    <t>Hosted all-in-one community/work platform</t>
  </si>
  <si>
    <t>Centralized privacy-focused community platform</t>
  </si>
  <si>
    <t>Self-hosted voice/chat collaboration platform</t>
  </si>
  <si>
    <t>Open-source Discord-compatible server/API platform</t>
  </si>
  <si>
    <t>ATProto-based group chat/community app</t>
  </si>
  <si>
    <t>Serverless/federated-style E2EE community client built on Nostr</t>
  </si>
  <si>
    <t>Local-first distributed encrypted messenger/community app</t>
  </si>
  <si>
    <t>Self-hosted-only decentralized chat software + key-based messenger</t>
  </si>
  <si>
    <t>Centralized proprietary community/chat platform</t>
  </si>
  <si>
    <t>Hosted + self-hostable open-source community chat</t>
  </si>
  <si>
    <t>Centralized Discord-like voice/chat service</t>
  </si>
  <si>
    <t>Open-source community platform with hosted + self-host nodes</t>
  </si>
  <si>
    <t>Centralized lobby-first gaming social platform</t>
  </si>
  <si>
    <t>Federated self-hosted chat application</t>
  </si>
  <si>
    <t>Reference / First-Party Client(s)</t>
  </si>
  <si>
    <t>Discord official web/desktop/mobile clients</t>
  </si>
  <si>
    <t>Stoat Web/PWA, Desktop, Android; iOS project</t>
  </si>
  <si>
    <t>Fenrid web/PWA alpha</t>
  </si>
  <si>
    <t>Fluxer Web/PWA, Electron desktop, Flutter mobile beta</t>
  </si>
  <si>
    <t>Root desktop/mobile/web surfaces</t>
  </si>
  <si>
    <t>No single official client. Element/Element X are example clients, not Matrix itself.</t>
  </si>
  <si>
    <t>Spacebar-aware client(s); compatibility with Discord-style clients is a project goal</t>
  </si>
  <si>
    <t>Mumble desktop client</t>
  </si>
  <si>
    <t>TeamSpeak official clients</t>
  </si>
  <si>
    <t>Zulip web/desktop/mobile</t>
  </si>
  <si>
    <t>Mattermost web/desktop/mobile</t>
  </si>
  <si>
    <t>Rocket.Chat web/desktop/mobile</t>
  </si>
  <si>
    <t>GameVox native/web clients</t>
  </si>
  <si>
    <t>Nerimity Web/Desktop/Android</t>
  </si>
  <si>
    <t>Osmium web/desktop/mobile</t>
  </si>
  <si>
    <t>Loqa web client</t>
  </si>
  <si>
    <t>Venta client</t>
  </si>
  <si>
    <t>Mezon web/desktop/mobile</t>
  </si>
  <si>
    <t>Kloak web/client</t>
  </si>
  <si>
    <t>Yapper browser/client</t>
  </si>
  <si>
    <t>Fermi is the current primary client</t>
  </si>
  <si>
    <t>Roomy web app</t>
  </si>
  <si>
    <t>Armada client</t>
  </si>
  <si>
    <t>Hollow native client</t>
  </si>
  <si>
    <t>DCTS web/desktop/Android clients</t>
  </si>
  <si>
    <t>Rift client/web</t>
  </si>
  <si>
    <t>pqp web/desktop/mobile clients</t>
  </si>
  <si>
    <t>Echon web/native clients</t>
  </si>
  <si>
    <t>Valour web/Windows/Android</t>
  </si>
  <si>
    <t>Weered web/Tauri client</t>
  </si>
  <si>
    <t>Web (SvelteKit), Tauri desktop, Flutter mobile</t>
  </si>
  <si>
    <t>Client Interchangeability</t>
  </si>
  <si>
    <t>Limited — official clients do not all support arbitrary self-hosted instances</t>
  </si>
  <si>
    <t>Limited</t>
  </si>
  <si>
    <t>Yes — core architectural feature</t>
  </si>
  <si>
    <t>Potentially, within compatibility limits</t>
  </si>
  <si>
    <t>Yes within Mumble protocol compatibility</t>
  </si>
  <si>
    <t>Yes in principle</t>
  </si>
  <si>
    <t>Identity portable across relays</t>
  </si>
  <si>
    <t>Yes for messenger/home server identity</t>
  </si>
  <si>
    <t>Possible through documented APIs/protocol; no established third-party client ecosystem yet</t>
  </si>
  <si>
    <t>Self-Hosting Supported</t>
  </si>
  <si>
    <t>No currently</t>
  </si>
  <si>
    <t>Technically possible but explicitly not intended/supported</t>
  </si>
  <si>
    <t>In development</t>
  </si>
  <si>
    <t>Partially via ATProto/PDS model</t>
  </si>
  <si>
    <t>Yes — relays/self-host</t>
  </si>
  <si>
    <t>Federation Between Independent Instances</t>
  </si>
  <si>
    <t>Not yet — on roadmap</t>
  </si>
  <si>
    <t>Yes — core feature</t>
  </si>
  <si>
    <t>No general federation</t>
  </si>
  <si>
    <t>Yes — Matrix-based federation feature set, with limitations</t>
  </si>
  <si>
    <t>No federation verified</t>
  </si>
  <si>
    <t>Federation advertised</t>
  </si>
  <si>
    <t>Planned/in development</t>
  </si>
  <si>
    <t>Federation planned</t>
  </si>
  <si>
    <t>ATProto federation ecosystem</t>
  </si>
  <si>
    <t>Nostr relay interoperability</t>
  </si>
  <si>
    <t>Relay choice but not Matrix-style federated server state</t>
  </si>
  <si>
    <t>Yes for messenger/server communication features; full federation evolving</t>
  </si>
  <si>
    <t>No federation</t>
  </si>
  <si>
    <t>Node/federation model for migrating communities; exact cross-instance federation scope evolving</t>
  </si>
  <si>
    <t>Yes — kaede-fed/1</t>
  </si>
  <si>
    <t>Public Protocol / Standard</t>
  </si>
  <si>
    <t>Proprietary public developer APIs, not an open protocol</t>
  </si>
  <si>
    <t>Public REST/WebSocket API, but not a federation standard</t>
  </si>
  <si>
    <t>No open interoperability standard</t>
  </si>
  <si>
    <t>Public API/Gateway inspired by Discord; not a federation standard</t>
  </si>
  <si>
    <t>Proprietary Root APIs/SDK</t>
  </si>
  <si>
    <t>Open Matrix specification: Client-Server + Server-Server/Federation APIs</t>
  </si>
  <si>
    <t>Discord-compatible REST/Gateway reimplementation</t>
  </si>
  <si>
    <t>Open Mumble protocol/source</t>
  </si>
  <si>
    <t>Proprietary protocol/API</t>
  </si>
  <si>
    <t>Open REST/realtime APIs</t>
  </si>
  <si>
    <t>Open APIs, not a general federation standard</t>
  </si>
  <si>
    <t>REST/realtime APIs + federation components</t>
  </si>
  <si>
    <t>Proprietary API/service</t>
  </si>
  <si>
    <t>Public app/API code, not a federation standard</t>
  </si>
  <si>
    <t>Proprietary service APIs</t>
  </si>
  <si>
    <t>Discord-compatible API + federation work</t>
  </si>
  <si>
    <t>Custom open-source federation protocol</t>
  </si>
  <si>
    <t>Custom APIs</t>
  </si>
  <si>
    <t>Proprietary</t>
  </si>
  <si>
    <t>Discord-compatible API</t>
  </si>
  <si>
    <t>AT Protocol</t>
  </si>
  <si>
    <t>Nostr + Concord/NIP-29</t>
  </si>
  <si>
    <t>Custom open protocol/code</t>
  </si>
  <si>
    <t>Custom protocol</t>
  </si>
  <si>
    <t>Application API/webhooks</t>
  </si>
  <si>
    <t>Valour API/node protocol</t>
  </si>
  <si>
    <t>Proprietary/application API</t>
  </si>
  <si>
    <t>Public project protocol: kaede-fed/1</t>
  </si>
  <si>
    <t>Open-Source Scope</t>
  </si>
  <si>
    <t>Closed-source core service/client</t>
  </si>
  <si>
    <t>Backend/web/self-host stack largely FOSS (AGPL-3.0; components vary)</t>
  </si>
  <si>
    <t>Closed source during alpha; full source release planned</t>
  </si>
  <si>
    <t>AGPL-3.0 open-source stack</t>
  </si>
  <si>
    <t>Closed-source core platform; developer SDK/API public</t>
  </si>
  <si>
    <t>Protocol/spec open; implementations vary; many are FOSS</t>
  </si>
  <si>
    <t>FOSS / AGPL-3.0 project</t>
  </si>
  <si>
    <t>BSD-style open source</t>
  </si>
  <si>
    <t>Proprietary core</t>
  </si>
  <si>
    <t>Apache-2.0 open source</t>
  </si>
  <si>
    <t>Open-source/community code plus commercial editions</t>
  </si>
  <si>
    <t>MIT/open-source core + enterprise portions</t>
  </si>
  <si>
    <t>Closed source</t>
  </si>
  <si>
    <t>Open-source client/server</t>
  </si>
  <si>
    <t>Mixed/partial open source</t>
  </si>
  <si>
    <t>Backend open; client planned</t>
  </si>
  <si>
    <t>Open-source repository</t>
  </si>
  <si>
    <t>Open source</t>
  </si>
  <si>
    <t>MPL-2.0 open source</t>
  </si>
  <si>
    <t>AGPL-3.0 open source</t>
  </si>
  <si>
    <t>AGPL</t>
  </si>
  <si>
    <t>Closed source currently</t>
  </si>
  <si>
    <t>AGPL-3.0 client/server</t>
  </si>
  <si>
    <t>Source-available</t>
  </si>
  <si>
    <t>MIT original code</t>
  </si>
  <si>
    <t>Important Model Distinction</t>
  </si>
  <si>
    <t>One vendor controls service, accounts, official clients, and server backend.</t>
  </si>
  <si>
    <t>Self-hostable does not mean federated: separate Stoat instances do not automatically interoperate.</t>
  </si>
  <si>
    <t>Privacy features are product-level, but it is currently a centralized service rather than a federated protocol.</t>
  </si>
  <si>
    <t>Self-hosting exists now; federation is a separate roadmap item and should not be assumed.</t>
  </si>
  <si>
    <t>Apps/Bots are hosted inside Root; they extend Root but do not make it self-hosted/federated.</t>
  </si>
  <si>
    <t>Element is a Matrix client/vendor product. Matrix itself is the protocol and federated ecosystem.</t>
  </si>
  <si>
    <t>Spacebar reproduces Discord's client-server API model; it is not a federated network.</t>
  </si>
  <si>
    <t>A voice-first client/server system, not a Discord-style social platform.</t>
  </si>
  <si>
    <t>Server ownership can be independent, but TeamSpeak servers do not federate into one network.</t>
  </si>
  <si>
    <t>Multiple deployments are independent; Zulip is an application, not a federated protocol.</t>
  </si>
  <si>
    <t>Self-hosting gives data control, but separate Mattermost deployments are not one interoperable federation.</t>
  </si>
  <si>
    <t>Federation exists, but its feature set is narrower than local rooms and differs from Matrix-as-a-platform.</t>
  </si>
  <si>
    <t>Self-hosting exists, but instances are not documented as one federated network.</t>
  </si>
  <si>
    <t>Open source does not imply federation; the official project discourages self-hosting as a normal deployment model.</t>
  </si>
  <si>
    <t>Regional distribution is not federation or self-hosting.</t>
  </si>
  <si>
    <t>Unlike a purely centralized clone, Loqa explicitly targets federation/self-hosting, but the architecture is still evolving.</t>
  </si>
  <si>
    <t>Current product and intended future architecture differ; federation/self-hosting should be marked in-progress, not assumed complete.</t>
  </si>
  <si>
    <t>Open source code does not by itself make Mezon a federated protocol like Matrix.</t>
  </si>
  <si>
    <t>Privacy-minimal account design is distinct from decentralization/self-hosting.</t>
  </si>
  <si>
    <t>Like TeamSpeak, operator owns the server; unlike Matrix, servers are not documented as federated.</t>
  </si>
  <si>
    <t>Harmony is the platform/API; Fermi is a client. This mirrors the Matrix/Element distinction conceptually, though Harmony is not Matrix.</t>
  </si>
  <si>
    <t>Roomy is an ATProto application, not a generic centralized Discord clone.</t>
  </si>
  <si>
    <t>Armada separates identity/content from a single platform host: keys are the account and relays are replaceable transport.</t>
  </si>
  <si>
    <t>There is no central account database: the user's keypair is the identity and message history lives locally.</t>
  </si>
  <si>
    <t>DCTS combines island-like community servers with a separate cross-server encrypted messenger.</t>
  </si>
  <si>
    <t>Privacy policy choices (no email/phone/ID, EXIF stripping, no AI training) operate within a centralized service model.</t>
  </si>
  <si>
    <t>Self-hosting provides ownership, but instances are not one federated network.</t>
  </si>
  <si>
    <t>Familiar Discord-style UX on a centralized service.</t>
  </si>
  <si>
    <t>Valour is one open-source platform/client-server stack, not a general protocol ecosystem like Matrix.</t>
  </si>
  <si>
    <t>Weered intentionally uses game lobbies/rooms rather than cloning Discord's server/channel information architecture.</t>
  </si>
  <si>
    <t>Guild/conversation authority stays on its home instance; other homes replicate only permitted data</t>
  </si>
  <si>
    <t>Commercial / Granular Snapshot</t>
  </si>
  <si>
    <t>Free Plan?</t>
  </si>
  <si>
    <t>Yes — official instance currently free; MIT self-hosting is free</t>
  </si>
  <si>
    <t># Public Paid Options</t>
  </si>
  <si>
    <t>4</t>
  </si>
  <si>
    <t>0</t>
  </si>
  <si>
    <t>3</t>
  </si>
  <si>
    <t>1</t>
  </si>
  <si>
    <t>10</t>
  </si>
  <si>
    <t>5</t>
  </si>
  <si>
    <t>Paid Options / Tiers</t>
  </si>
  <si>
    <t>Nitro Basic; Nitro; Server Boost; Nitro Classic</t>
  </si>
  <si>
    <t>No public paid tier verified</t>
  </si>
  <si>
    <t>Surge; Flare; Prime</t>
  </si>
  <si>
    <t>Plutonium</t>
  </si>
  <si>
    <t>Sudo</t>
  </si>
  <si>
    <t>Crew; Team; Faction; Gamer / Activation 64 slots; Gamer / Activation 128 slots; Gamer / Activation 256 slots; Gamer / Activation 512 slots; Gamer / Activation 1024 slots; Commercial License; TeamSpeak SDK License</t>
  </si>
  <si>
    <t>Cloud Standard; Cloud Plus; Self-hosted Basic; Self-hosted Business; Self-hosted Enterprise</t>
  </si>
  <si>
    <t>Professional; Enterprise; Enterprise Advanced; Premier Support</t>
  </si>
  <si>
    <t>Commercial; Government; Defense</t>
  </si>
  <si>
    <t>Silver; Gold; Diamond; Self-Hosted Server License</t>
  </si>
  <si>
    <t>Yapper Hosting — 1 Year</t>
  </si>
  <si>
    <t>Rift+; Shard Ember; Shard Forge</t>
  </si>
  <si>
    <t>Stargazer</t>
  </si>
  <si>
    <t>Run your own; Have it built — Crew; Have it built — League; Have it built — Network; Have it built — Larger</t>
  </si>
  <si>
    <t>Self-Hosting?</t>
  </si>
  <si>
    <t>Federated?</t>
  </si>
  <si>
    <t>DM Text E2EE?</t>
  </si>
  <si>
    <t>No (text)</t>
  </si>
  <si>
    <t>No default E2EE verified</t>
  </si>
  <si>
    <t>No claim / treated as server-readable</t>
  </si>
  <si>
    <t>Supported; default depends on client/room</t>
  </si>
  <si>
    <t>No documented default</t>
  </si>
  <si>
    <t>Available in supported E2EE conversations</t>
  </si>
  <si>
    <t>No by default</t>
  </si>
  <si>
    <t>Yes for desktop server DMs when enabled; messenger always yes</t>
  </si>
  <si>
    <t>Yes — Signal-style X3DH/Double Ratchet</t>
  </si>
  <si>
    <t>Optional MLS 1.0</t>
  </si>
  <si>
    <t>Free Max Upload</t>
  </si>
  <si>
    <t>20</t>
  </si>
  <si>
    <t>20 MB</t>
  </si>
  <si>
    <t>25</t>
  </si>
  <si>
    <t>5 GB total cloud storage on Free plan</t>
  </si>
  <si>
    <t>Yes — multimedia/file sharing; plan/config limits vary</t>
  </si>
  <si>
    <t>500</t>
  </si>
  <si>
    <t>100 for video/other; images 50</t>
  </si>
  <si>
    <t>50</t>
  </si>
  <si>
    <t>15 MB official instance; self-host configurable</t>
  </si>
  <si>
    <t>Free Max Screen Share</t>
  </si>
  <si>
    <t>720p / 30 FPS</t>
  </si>
  <si>
    <t>720p game / Source text mode / 30 game / 5 source FPS</t>
  </si>
  <si>
    <t>Client-dependent / Client-dependent FPS</t>
  </si>
  <si>
    <t>Operator/config dependent</t>
  </si>
  <si>
    <t>N/A / N/A FPS</t>
  </si>
  <si>
    <t>Provider-dependent / Provider-dependent FPS</t>
  </si>
  <si>
    <t>Deployment/plan dependent / Deployment/plan dependent FPS</t>
  </si>
  <si>
    <t>1080p / 30 FPS</t>
  </si>
  <si>
    <t>Up to 1440p</t>
  </si>
  <si>
    <t>Up to 4K / Up to 60/120 by version/config FPS</t>
  </si>
  <si>
    <t>720p / 60 FPS</t>
  </si>
  <si>
    <t>1080p</t>
  </si>
  <si>
    <t>4K30 native documented; developer questionnaire reported 4K60</t>
  </si>
  <si>
    <t>1080p Access</t>
  </si>
  <si>
    <t>Paid — Nitro</t>
  </si>
  <si>
    <t>Paid — Plutonium</t>
  </si>
  <si>
    <t>Paid — Sudo</t>
  </si>
  <si>
    <t>Configurable/P2P</t>
  </si>
  <si>
    <t>Free 30 FPS; Gold+ 60 FPS</t>
  </si>
  <si>
    <t>Free</t>
  </si>
  <si>
    <t>Paid — Rift+ or Shard Ember</t>
  </si>
  <si>
    <t>Free if supported</t>
  </si>
  <si>
    <t>Free/current</t>
  </si>
  <si>
    <t>1440p Access</t>
  </si>
  <si>
    <t>Paid — Diamond</t>
  </si>
  <si>
    <t>Free if supported; no paywall</t>
  </si>
  <si>
    <t>Paid — Shard Forge</t>
  </si>
  <si>
    <t>4K Access</t>
  </si>
  <si>
    <t>Voice Bitrate: Base → Max</t>
  </si>
  <si>
    <t>96 → 384 kbps</t>
  </si>
  <si>
    <t>64 → 256 kbps</t>
  </si>
  <si>
    <t>96 → 192 kbps</t>
  </si>
  <si>
    <t>24/48/96/128 kbps → 128 kbps</t>
  </si>
  <si>
    <t>Primary Pricing Model</t>
  </si>
  <si>
    <t>Per user; Per boost</t>
  </si>
  <si>
    <t>Subscription</t>
  </si>
  <si>
    <t>Per user</t>
  </si>
  <si>
    <t>Self-hosted open-source project</t>
  </si>
  <si>
    <t>Free/open-source self-hosted voice platform</t>
  </si>
  <si>
    <t>Per hosted community; Per self-host license; Custom</t>
  </si>
  <si>
    <t>Per user; Per user; 10-user minimum; Per user; 25-user minimum; Custom</t>
  </si>
  <si>
    <t>Annual seat license; Add-on</t>
  </si>
  <si>
    <t>Organization / deployment</t>
  </si>
  <si>
    <t>Per server; Per self-hosted server</t>
  </si>
  <si>
    <t>Open-source community chat</t>
  </si>
  <si>
    <t>Early-stage open-source Discord alternative; monetization not clearly documented</t>
  </si>
  <si>
    <t>Free platform; no premium communication tier documented</t>
  </si>
  <si>
    <t>Self-funded/donation-supported passion project; no ads/subscriptions/data harvesting</t>
  </si>
  <si>
    <t>Per managed server</t>
  </si>
  <si>
    <t>Open-source client ecosystem; platform monetization not established</t>
  </si>
  <si>
    <t>Open-source project</t>
  </si>
  <si>
    <t>Free/open source; no ads and no paid tier</t>
  </si>
  <si>
    <t>Open-source distributed/self-hostable messenger</t>
  </si>
  <si>
    <t>Free/open-source self-hosted/decentralized project</t>
  </si>
  <si>
    <t>Per user; Per community / Shard</t>
  </si>
  <si>
    <t>Free/open source; donations do not unlock features</t>
  </si>
  <si>
    <t>Free core with Premium/Boost tiers when active</t>
  </si>
  <si>
    <t>Per supporter</t>
  </si>
  <si>
    <t>Per lobby; Per community build</t>
  </si>
  <si>
    <t>Free/currently unmonetized; self-funded</t>
  </si>
  <si>
    <t>Monetization &amp; Legal Snapshot</t>
  </si>
  <si>
    <t>Current Monetization</t>
  </si>
  <si>
    <t>Nitro/Nitro Basic subscriptions, Server Boosts, Shop and app ecosystem</t>
  </si>
  <si>
    <t>No public fixed-price paid tier verified: N/A</t>
  </si>
  <si>
    <t>No current paid monetization verified / see Monetization Detail</t>
  </si>
  <si>
    <t>Plutonium: 4.99/mo; 49.99/yr; One-time / monthly / yearly donations: Minimum 3 in selected currency</t>
  </si>
  <si>
    <t>No Matrix-wide paid tier: N/A; Donations / organizational sponsorship: User-selected / sponsorship</t>
  </si>
  <si>
    <t>No central paid tier: N/A</t>
  </si>
  <si>
    <t>No Mumble subscription: N/A</t>
  </si>
  <si>
    <t>Crew: 4.99/mo; 53.99/yr; Team: 8.99/mo; 96.99/yr; Faction: 17.99/mo; 194.99/yr; Gamer / Activation 64 slots: 55/yr; Gamer / Activation 128 slots: 50/6mo; 100/yr; Gamer / Activation 256 slots: 87.50/6mo; 175/yr; Gamer / Activation 512 slots: 150/6mo; 300/yr; Gamer / Activation 1024 slots: 250/6mo; 500/yr; Commercial License: Contact Sales / Quote; TeamSpeak SDK License: Contact Sales / Quote</t>
  </si>
  <si>
    <t>Cloud Standard: 8.00/mo; 80.04/yr; Cloud Plus: 12.00/mo; 120.00/yr; Self-hosted Basic: 3.50/mo; Self-hosted Business: 8.00/mo; 80.04/yr; Self-hosted Enterprise: Contact Sales / Quote</t>
  </si>
  <si>
    <t>Professional: Contact Sales / Quote; Enterprise: Contact Sales / Quote; Enterprise Advanced: Contact Sales / Quote; Premier Support: Contact Sales / Quote</t>
  </si>
  <si>
    <t>Commercial: Contact Sales / Quote; Government: Contact Sales / Quote; Defense: Contact Sales / Quote</t>
  </si>
  <si>
    <t>Silver: 4.99/mo; Gold: 9.99/mo; Diamond: 19.99/mo; Self-Hosted Server License: 2.00/mo; 15.00/yr</t>
  </si>
  <si>
    <t>No paid subscription verified: N/A; Donation-funded service: User-selected</t>
  </si>
  <si>
    <t>Core features free; premium managed hosting planned</t>
  </si>
  <si>
    <t>No premium communication subscription: N/A; Mezon Token / Mezon Dong payments: Transaction-dependent</t>
  </si>
  <si>
    <t>No public fixed-price paid tier verified: N/A; Self-funding + donations: User-selected</t>
  </si>
  <si>
    <t>Yapper Hosting — 1 Year: 45.00 promo / 90.00 regular/yr; Maximum Control Self-Hosting License: 0</t>
  </si>
  <si>
    <t>No paid Roomy subscription verified: N/A</t>
  </si>
  <si>
    <t>No Armada subscription: N/A</t>
  </si>
  <si>
    <t>No Hollow subscription: N/A</t>
  </si>
  <si>
    <t>No DCTS subscription: N/A; PayPal / Ko-fi donations: User-selected</t>
  </si>
  <si>
    <t>Rift+: 7.00/mo; 70.00/yr; Shard Ember: 10.00/mo; Shard Forge: 25.00/mo</t>
  </si>
  <si>
    <t>No public fixed-price paid tier verified: N/A; Project donations: User-selected</t>
  </si>
  <si>
    <t>Optional Stargazer subscriptions/Patreon</t>
  </si>
  <si>
    <t>Run your own: 6.00/mo; Have it built — Crew: Contact Sales / Quote; Have it built — League: Contact Sales / Quote; Have it built — Network: Contact Sales / Quote; Have it built — Larger: Contact Sales / Quote; Crew / League / Network / Larger custom builds: Quoted</t>
  </si>
  <si>
    <t>None currently</t>
  </si>
  <si>
    <t>Intended Monetization</t>
  </si>
  <si>
    <t>Surge: 4.99/mo; Flare: 9.99/mo; Prime: 24.99/mo</t>
  </si>
  <si>
    <t>Subscriptions/donations; creator payments planned</t>
  </si>
  <si>
    <t>Premium plan: Price not finalized</t>
  </si>
  <si>
    <t>No premium tier: 0</t>
  </si>
  <si>
    <t>Subscriptions fund operations</t>
  </si>
  <si>
    <t>Future monetization planned, model TBD</t>
  </si>
  <si>
    <t>Server / Community Upgrade Model</t>
  </si>
  <si>
    <t>Server Boost: 4.99/mo; 49.99/yr; Server Boost Level 1: $9.98/mo at full $4.99/boost rate; Server Boost Level 2: $34.93/mo at full $4.99/boost rate; Server Boost Level 3: $69.86/mo at full $4.99/boost rate; Server Subscriptions / Server Shop / Premium Apps: Creator-set / varies</t>
  </si>
  <si>
    <t>Crew: 4.99/mo; 53.99/yr; Team: 8.99/mo; 96.99/yr; Faction: 17.99/mo; 194.99/yr</t>
  </si>
  <si>
    <t>Silver: 4.99/mo; Gold: 9.99/mo; Diamond: 19.99/mo</t>
  </si>
  <si>
    <t>Ember $10/mo; Forge $25/mo</t>
  </si>
  <si>
    <t>No paid server/community tier currently</t>
  </si>
  <si>
    <t>User-Level Paid Model</t>
  </si>
  <si>
    <t>Nitro Basic: 2.99/mo; 29.99/yr; Nitro: 9.99/mo; 99.99/yr; Nitro Classic: 4.99/mo; 49.99/yr</t>
  </si>
  <si>
    <t>Plutonium: 4.99/mo; 49.99/yr</t>
  </si>
  <si>
    <t>Rift+: 7.00/mo; 70.00/yr</t>
  </si>
  <si>
    <t>No paid user tier currently</t>
  </si>
  <si>
    <t>Terms / Legal URL</t>
  </si>
  <si>
    <t>https://discord.com/terms</t>
  </si>
  <si>
    <t>https://stoat.chat/legal/terms</t>
  </si>
  <si>
    <t>https://fenrid.com/terms</t>
  </si>
  <si>
    <t>https://fluxer.app/terms</t>
  </si>
  <si>
    <t>https://www.rootapp.com/terms-of-use</t>
  </si>
  <si>
    <t>https://matrix.org/legal/terms-and-conditions/</t>
  </si>
  <si>
    <t>https://spacebar.chat/</t>
  </si>
  <si>
    <t>https://www.mumble.info/</t>
  </si>
  <si>
    <t>https://www.teamspeak.com/en/terms-and-conditions</t>
  </si>
  <si>
    <t>https://zulip.com/policies/terms</t>
  </si>
  <si>
    <t>https://docs.mattermost.com/product-overview/faq-license</t>
  </si>
  <si>
    <t>https://docs.rocket.chat/docs/legal-center</t>
  </si>
  <si>
    <t>https://gamevox.com/terms/</t>
  </si>
  <si>
    <t>https://nerimity.com/</t>
  </si>
  <si>
    <t>https://osmium.chat/terms/</t>
  </si>
  <si>
    <t>https://loqa.chat/terms/</t>
  </si>
  <si>
    <t>https://dong.mezon.ai/</t>
  </si>
  <si>
    <t>https://kloak.app/terms</t>
  </si>
  <si>
    <t>https://github.com/soapbox-pub/armada</t>
  </si>
  <si>
    <t>https://github.com/VitalikPro13/HOLLOW</t>
  </si>
  <si>
    <t>https://therift.chat/terms/</t>
  </si>
  <si>
    <t>Privacy Policy URL</t>
  </si>
  <si>
    <t>https://discord.com/privacy</t>
  </si>
  <si>
    <t>https://stoat.chat/legal/privacy</t>
  </si>
  <si>
    <t>https://fenrid.com/privacy</t>
  </si>
  <si>
    <t>https://fluxer.app/privacy</t>
  </si>
  <si>
    <t>https://www.rootapp.com/privacy-policy</t>
  </si>
  <si>
    <t>https://matrix.org/legal/privacy-notice/</t>
  </si>
  <si>
    <t>https://www.teamspeak.com/en/privacy-policy</t>
  </si>
  <si>
    <t>https://zulip.com/policies/privacy</t>
  </si>
  <si>
    <t>https://mattermost.com/privacy-policy/</t>
  </si>
  <si>
    <t>https://docs.rocket.chat/docs/privacy-policy</t>
  </si>
  <si>
    <t>https://gamevox.com/privacy/</t>
  </si>
  <si>
    <t>https://osmium.chat/privacy/</t>
  </si>
  <si>
    <t>https://loqa.chat/privacy/</t>
  </si>
  <si>
    <t>https://kloak.app/privacy</t>
  </si>
  <si>
    <t>https://yapper.gg/privacy-policy</t>
  </si>
  <si>
    <t>https://therift.chat/privacy/</t>
  </si>
  <si>
    <t>https://echon-voice.com/privacy</t>
  </si>
  <si>
    <t>Policy Scope / Notes</t>
  </si>
  <si>
    <t>Discord-operated centralized service — Paid Services and Monetization Terms additionally govern purchases/sales.</t>
  </si>
  <si>
    <t>Stoat-hosted service; self-host instances are separate operators — Read shared policies together with Stoat-specific supplements.</t>
  </si>
  <si>
    <t>Pre-launch waitlist policies; full production policy not yet verified — Treat these as waitlist policies, not a complete production-service legal package.</t>
  </si>
  <si>
    <t>fluxer.app hosted service; self-host operators may have separate policies — Voice/video/screen E2EE is in development, not current.</t>
  </si>
  <si>
    <t>Root-operated centralized service — Developer Terms separately govern Apps/Bots and hosted runtime.</t>
  </si>
  <si>
    <t>No Matrix-wide ToS; these links apply only to the matrix.org homeserver — Keep Matrix protocol, matrix.org homeserver and Element client separate.</t>
  </si>
  <si>
    <t>Self-hosted open-source Discord-compatible software — No central consumer service policy; operator policies apply.</t>
  </si>
  <si>
    <t>Open-source self-hosted voice software — No central hosted-service ToS; third-party host/operator policies apply.</t>
  </si>
  <si>
    <t>Software, accounts, hosted communities, licenses and related services — Authorized third-party hosts may impose additional policies.</t>
  </si>
  <si>
    <t>Zulip Cloud plus subscriptions; self-host operator policies also matter — Treat Zulip Cloud and self-hosted Zulip separately.</t>
  </si>
  <si>
    <t>Cloud and self-hosted enterprise collaboration; local org terms may apply — Obligations differ by Team Edition, Enterprise and Cloud.</t>
  </si>
  <si>
    <t>Cloud and self-managed deployments; offering-specific terms — Use Legal Center for current agreements and archived versions.</t>
  </si>
  <si>
    <t>Cloud account/service plus cloud-hosted or self-hosted community servers — No data sale or advertising stated.</t>
  </si>
  <si>
    <t>Nerimity-hosted service; open-source code — Homepage links Terms and Privacy; exact standalone URLs were not indexed.</t>
  </si>
  <si>
    <t>Osmium-hosted centralized service — Encrypted transport does not itself mean E2EE.</t>
  </si>
  <si>
    <t>Loqa-operated service plus evolving federation/self-host features — E2EE coverage varies by content type.</t>
  </si>
  <si>
    <t>Early hosted project moving toward self-host/federation — Formal public legal policy coverage is incomplete.</t>
  </si>
  <si>
    <t>Kloak-hosted privacy-focused service — Kloak states no subscriptions, ads or data harvesting.</t>
  </si>
  <si>
    <t>yapper.gg account/license service plus self-host or managed server — Managed hosting and self-host privacy responsibilities differ.</t>
  </si>
  <si>
    <t>Open-source Harmony platform/server; Fermi is a client — No central consumer service policy verified; self-host operator policy applies.</t>
  </si>
  <si>
    <t>Open-source ATProto application/appserver — Provider/PDS/appserver policies apply; no Roomy consumer policy verified.</t>
  </si>
  <si>
    <t>Open-source Nostr/Concord client/relay ecosystem — No central consumer service terms; relay/provider policies apply.</t>
  </si>
  <si>
    <t>Local-first distributed app with optional relays — Repository contains Terms/Privacy docs; exact file URLs not normalized here.</t>
  </si>
  <si>
    <t>Self-host-first open-source platform — No centralized consumer ToS/privacy verified; instance operator policies apply.</t>
  </si>
  <si>
    <t>Rift-operated centralized service — No email, phone or government ID required.</t>
  </si>
  <si>
    <t>Hosted pqp.gg service plus AGPL self-hosting — No standalone legal pages verified; export/delete and self-host controls are documented.</t>
  </si>
  <si>
    <t>Echon-hosted centralized service — Premium/boost amounts and exact scope are not public.</t>
  </si>
  <si>
    <t>Valour-hosted service plus AGPL self-host/federated nodes — FAQ says no phone/ID, no ads, no data selling; AGPL client/server.</t>
  </si>
  <si>
    <t>Weered-hosted lobby/community service — No seat limits/boosts; paid model is lobby ownership/custom builds.</t>
  </si>
  <si>
    <t>Operator-configurable legal pages; default self-host deploy explicitly shows a non-policy notice until operator legal fields are configured</t>
  </si>
  <si>
    <t>Modern Feature Snapshot</t>
  </si>
  <si>
    <t>Native Forum / Threaded Knowledge Space</t>
  </si>
  <si>
    <t>Yes — Forum Channels</t>
  </si>
  <si>
    <t>Client/room conventions</t>
  </si>
  <si>
    <t>Topics rather than forum channel</t>
  </si>
  <si>
    <t>Yes — threads and forums</t>
  </si>
  <si>
    <t>Yes/Partial — forum/group-chat model</t>
  </si>
  <si>
    <t>Yes — threads; Buzz compatibility also exposes forums</t>
  </si>
  <si>
    <t>Yes — Forum channels</t>
  </si>
  <si>
    <t>Yes — thread feed</t>
  </si>
  <si>
    <t>Native Gallery / Media-First Space</t>
  </si>
  <si>
    <t>Partial — Forum Gallery View</t>
  </si>
  <si>
    <t>Yes — Gallery channel</t>
  </si>
  <si>
    <t>No dedicated gallery channel</t>
  </si>
  <si>
    <t>Native Ticket / Support Workflow</t>
  </si>
  <si>
    <t>No native; apps/bots</t>
  </si>
  <si>
    <t>Plugins/integrations</t>
  </si>
  <si>
    <t>Apps/integrations</t>
  </si>
  <si>
    <t>Yes — built-in Ticket channel</t>
  </si>
  <si>
    <t>No dedicated ticket/support channel</t>
  </si>
  <si>
    <t>Embedded App / Widget Framework</t>
  </si>
  <si>
    <t>Yes — Activities / Embedded App SDK</t>
  </si>
  <si>
    <t>Yes — hosted Root Apps can provide GUI surfaces</t>
  </si>
  <si>
    <t>Client-dependent widgets (e.g. Element)</t>
  </si>
  <si>
    <t>No embedded-app framework; bots/integrations</t>
  </si>
  <si>
    <t>Yes — webapp plugins/components</t>
  </si>
  <si>
    <t>Yes — Apps-Engine/Marketplace</t>
  </si>
  <si>
    <t>No dedicated embedded-app marketplace documented</t>
  </si>
  <si>
    <t>Yes — Portals + built-in workspaces</t>
  </si>
  <si>
    <t>No dedicated embedded-app framework documented</t>
  </si>
  <si>
    <t>No embedded widget/activity runtime; bot/application ecosystem instead</t>
  </si>
  <si>
    <t>Saved Multi-Panel Layouts / Workspaces</t>
  </si>
  <si>
    <t>No general user-arranged workspace</t>
  </si>
  <si>
    <t>Yes — drag/resize/save named layouts</t>
  </si>
  <si>
    <t>No saved multi-panel workspace/layout feature documented</t>
  </si>
  <si>
    <t>Term / Rule</t>
  </si>
  <si>
    <t>Meaning</t>
  </si>
  <si>
    <t>How it is used in this workbook</t>
  </si>
  <si>
    <t>U/K</t>
  </si>
  <si>
    <t>Unknown / not sufficiently publicly verifiable</t>
  </si>
  <si>
    <t>Used instead of guessing. A project may support the feature, but there was not enough reliable public evidence to state it.</t>
  </si>
  <si>
    <t>Not applicable / feature or tier does not exist</t>
  </si>
  <si>
    <t>Used when the category genuinely does not apply, such as 4K access on a voice-only platform or paid-tier rows for a platform with no fixed paid tier.</t>
  </si>
  <si>
    <t>Verified available</t>
  </si>
  <si>
    <t>May still have plan, client, deployment, or implementation qualifiers in adjacent rows.</t>
  </si>
  <si>
    <t>Verified unavailable / not supported</t>
  </si>
  <si>
    <t>Different from U/K.</t>
  </si>
  <si>
    <t>Available without a paid subscription</t>
  </si>
  <si>
    <t>Self-host infrastructure costs are separate from software subscription price.</t>
  </si>
  <si>
    <t>Paid</t>
  </si>
  <si>
    <t>Requires a named paid entitlement</t>
  </si>
  <si>
    <t>The corresponding tier name and price should be listed in Pricing &amp; Tiers when public.</t>
  </si>
  <si>
    <t>Configurable</t>
  </si>
  <si>
    <t>Operator/server/provider controls the value</t>
  </si>
  <si>
    <t>Common for self-hosted platforms.</t>
  </si>
  <si>
    <t>Provider-dependent / Client-dependent</t>
  </si>
  <si>
    <t>No single platform-wide answer</t>
  </si>
  <si>
    <t>Especially important for Matrix and other ecosystems with multiple clients/providers.</t>
  </si>
  <si>
    <t>Matrix is the protocol/ecosystem, not Element</t>
  </si>
  <si>
    <t>Element/Element X are example clients. Client limits and provider pricing are not attributed to Matrix itself.</t>
  </si>
  <si>
    <t>Harmony / Fermi</t>
  </si>
  <si>
    <t>Harmony is the platform/server; Fermi is a client</t>
  </si>
  <si>
    <t>The workbook keeps platform and client identities separate.</t>
  </si>
  <si>
    <t>Self-hosting vs Federation</t>
  </si>
  <si>
    <t>Independent self-hosted copies do not automatically interoperate</t>
  </si>
  <si>
    <t>A platform can be self-hostable and still be non-federated.</t>
  </si>
  <si>
    <t>Open Source vs Federation</t>
  </si>
  <si>
    <t>Open source does not imply a shared network</t>
  </si>
  <si>
    <t>Licensing and network topology are tracked separately.</t>
  </si>
  <si>
    <t>Paid Tier Count</t>
  </si>
  <si>
    <t>Counts public fixed-price subscription/service tiers</t>
  </si>
  <si>
    <t>Enterprise/custom-quote tiers are tracked separately and not silently counted as a fixed-price tier.</t>
  </si>
  <si>
    <t>Contact Sales</t>
  </si>
  <si>
    <t>A paid tier exists but no public fixed price is published</t>
  </si>
  <si>
    <t>This is not U/K: the pricing model itself is known to be quote-based.</t>
  </si>
  <si>
    <t>Monthly vs Annual</t>
  </si>
  <si>
    <t>Monthly and annual prices are separate fields</t>
  </si>
  <si>
    <t>Annual price is not guessed from monthly price unless the provider publishes it.</t>
  </si>
  <si>
    <t>Server-Wide vs Per-User</t>
  </si>
  <si>
    <t>Who pays and who receives the entitlement</t>
  </si>
  <si>
    <t>Examples: Discord Nitro is personal; Server Boosts are server-wide. GameVox paid tiers are server-wide.</t>
  </si>
  <si>
    <t>Primary Sources</t>
  </si>
  <si>
    <t>Official site, docs, pricing page, privacy policy, or source repository</t>
  </si>
  <si>
    <t>Primary sources are preferred for facts and current limits.</t>
  </si>
  <si>
    <t>Subreddit Use</t>
  </si>
  <si>
    <t>r/discordalternatives is used for discovery and community context</t>
  </si>
  <si>
    <t>Subreddit claims are not treated as technical facts unless independently verified.</t>
  </si>
  <si>
    <t>Unknown Handling</t>
  </si>
  <si>
    <t>No unsupported inference</t>
  </si>
  <si>
    <t>If a technical limit, price, audit, or policy is not verifiable, the cell remains U/K.</t>
  </si>
  <si>
    <t>As-of Date</t>
  </si>
  <si>
    <t>2026-09-15</t>
  </si>
  <si>
    <t>Pricing, product status, and limits are time-sensitive and should be rechecked when used later.</t>
  </si>
  <si>
    <t>The feature exists but does not match the full comparison concept</t>
  </si>
  <si>
    <t>Used when a platform has an adjacent capability (for example Discord Forum Gallery View instead of a dedicated Gallery channel).</t>
  </si>
  <si>
    <t>Experimental</t>
  </si>
  <si>
    <t>Feature is publicly available or documented as experimental/testing</t>
  </si>
  <si>
    <t>Kept distinct from stable Yes so maturity is not overstated.</t>
  </si>
  <si>
    <t>Planned / Soon</t>
  </si>
  <si>
    <t>Provider publicly documents the feature but it is not generally available yet</t>
  </si>
  <si>
    <t>Not counted as currently available.</t>
  </si>
  <si>
    <t>Native / Built-in</t>
  </si>
  <si>
    <t>Implemented by the platform itself without requiring an external bot or integration</t>
  </si>
  <si>
    <t>Used heavily in Channel Types and Extra Features.</t>
  </si>
  <si>
    <t>App / Bot / Integration</t>
  </si>
  <si>
    <t>Capability can be added through an extension rather than being native</t>
  </si>
  <si>
    <t>Not treated as equivalent to a native channel type unless explicitly stated.</t>
  </si>
  <si>
    <t>Embedded App</t>
  </si>
  <si>
    <t>An interactive UI/app that runs inside or alongside the chat client</t>
  </si>
  <si>
    <t>Separated into its own Embedded Apps sheet; distinct from message-only bots/webhooks.</t>
  </si>
  <si>
    <t>Channel Type vs Feature</t>
  </si>
  <si>
    <t>A channel type is a persistent structured space represented in the channel/navigation model</t>
  </si>
  <si>
    <t>Poll messages, scheduled events, widgets, or bot workflows are not automatically counted as channel types.</t>
  </si>
  <si>
    <t>Feature is implemented by particular clients rather than guaranteed by the protocol/platform</t>
  </si>
  <si>
    <t>Especially important for Matrix widgets, media capabilities, and UI features.</t>
  </si>
  <si>
    <t>Feature varies by hosted provider or self-host operator</t>
  </si>
  <si>
    <t>Used for federated/self-host ecosystems where no single platform-wide value exists.</t>
  </si>
  <si>
    <t>Blank / unresolved</t>
  </si>
  <si>
    <t>Reviewed but not safely resolved from first-party sources</t>
  </si>
  <si>
    <t>After this pass, blank comparison cells mean the reviewed official/project sources did not establish the answer. Do not interpret blank as No.</t>
  </si>
  <si>
    <t>Source Language</t>
  </si>
  <si>
    <t>Language of the cited webpage, not the product UI</t>
  </si>
  <si>
    <t>English is the default. Localized pages are tagged separately in Website Links and the source sheets.</t>
  </si>
  <si>
    <t>Developer-Provided First-Party Statement</t>
  </si>
  <si>
    <t>Direct statement from a project developer/maintainer supplied for this comparison</t>
  </si>
  <si>
    <t>Used when public docs do not expose the value. If public docs conflict with a developer-supplied operational claim, the workbook records the current public docs in the comparison cell and preserves the developer claim in source notes.</t>
  </si>
  <si>
    <t>Messaging &amp; Community Basics</t>
  </si>
  <si>
    <t>1:1 DMs</t>
  </si>
  <si>
    <t>Yes — rooms/DMs</t>
  </si>
  <si>
    <t>Limited user text messages</t>
  </si>
  <si>
    <t>Yes/TS6 chat</t>
  </si>
  <si>
    <t>Group DMs</t>
  </si>
  <si>
    <t>Yes — rooms can be private multi-user</t>
  </si>
  <si>
    <t>No persistent group-DM model</t>
  </si>
  <si>
    <t>Group spaces</t>
  </si>
  <si>
    <t>Communities / Servers / Workspaces</t>
  </si>
  <si>
    <t>Yes — servers/guilds</t>
  </si>
  <si>
    <t>Yes — rooms/spaces</t>
  </si>
  <si>
    <t>Discord-compatible server model</t>
  </si>
  <si>
    <t>Yes — servers/channels</t>
  </si>
  <si>
    <t>Yes — servers/communities</t>
  </si>
  <si>
    <t>Yes — organizations</t>
  </si>
  <si>
    <t>Yes — workspaces/teams</t>
  </si>
  <si>
    <t>Yes — workspaces</t>
  </si>
  <si>
    <t>Yes — servers</t>
  </si>
  <si>
    <t>Yes — communities</t>
  </si>
  <si>
    <t>Yes — servers/categories</t>
  </si>
  <si>
    <t>Yes — Clans</t>
  </si>
  <si>
    <t>Yes — self-hosted servers</t>
  </si>
  <si>
    <t>Yes — Roomy spaces</t>
  </si>
  <si>
    <t>Yes — Shards</t>
  </si>
  <si>
    <t>Yes — planets</t>
  </si>
  <si>
    <t>Yes — lobbies/crews</t>
  </si>
  <si>
    <t>Text Channels / Rooms</t>
  </si>
  <si>
    <t>Yes/Partial — Discord API parity varies by implementation</t>
  </si>
  <si>
    <t>Partial — channel text chat; voice-first</t>
  </si>
  <si>
    <t>Partial — chat exists; persistent server text channels remain limited/planned in TS6</t>
  </si>
  <si>
    <t>Yes — public/private channels</t>
  </si>
  <si>
    <t>Yes — channels/groups/DMs</t>
  </si>
  <si>
    <t>Yes — server channels</t>
  </si>
  <si>
    <t>Yes — real-time messaging</t>
  </si>
  <si>
    <t>Yes — group chat</t>
  </si>
  <si>
    <t>Voice Channels / Rooms</t>
  </si>
  <si>
    <t>Yes — client-dependent</t>
  </si>
  <si>
    <t>Optional WebRTC media implementation</t>
  </si>
  <si>
    <t>Provider integration (Zoom/Jitsi/etc.), not a persistent native voice-room model</t>
  </si>
  <si>
    <t>Yes — calls</t>
  </si>
  <si>
    <t>Yes — Rocket.Chat Voice + conference integrations</t>
  </si>
  <si>
    <t>Categories / Channel Organization</t>
  </si>
  <si>
    <t>Yes — servers, categories, text/voice/forum/stage channels</t>
  </si>
  <si>
    <t>Yes — servers/categories/text/voice</t>
  </si>
  <si>
    <t>Yes — communities/categories/text/voice</t>
  </si>
  <si>
    <t>Yes — communities/channel groups/text/voice</t>
  </si>
  <si>
    <t>Yes — rooms + Spaces; exact UX client-dependent</t>
  </si>
  <si>
    <t>Yes — Discord-compatible model</t>
  </si>
  <si>
    <t>Yes — hierarchical voice channels</t>
  </si>
  <si>
    <t>Yes — organizations/streams/topics</t>
  </si>
  <si>
    <t>Yes — teams/channels</t>
  </si>
  <si>
    <t>Yes — workspaces/teams/channels</t>
  </si>
  <si>
    <t>Yes — communities/channels</t>
  </si>
  <si>
    <t>Yes — servers/categories/text/voice/forum/stage</t>
  </si>
  <si>
    <t>Yes — Discord-like guild/channel model</t>
  </si>
  <si>
    <t>Yes — clans/channels</t>
  </si>
  <si>
    <t>Yes — servers/channels/roles</t>
  </si>
  <si>
    <t>Yes — rooms/channels</t>
  </si>
  <si>
    <t>Yes — guild/channel model</t>
  </si>
  <si>
    <t>Yes — spaces/group chat</t>
  </si>
  <si>
    <t>Yes — communities/channels/threads</t>
  </si>
  <si>
    <t>Yes — encrypted communities/public channels</t>
  </si>
  <si>
    <t>Yes — planets/channels</t>
  </si>
  <si>
    <t>Lobby/room model rather than servers/channels</t>
  </si>
  <si>
    <t>Markdown Text</t>
  </si>
  <si>
    <t>Core Notifications</t>
  </si>
  <si>
    <t>Client notifications</t>
  </si>
  <si>
    <t>Local notifications</t>
  </si>
  <si>
    <t>Messages &amp; Content</t>
  </si>
  <si>
    <t>File Uploads</t>
  </si>
  <si>
    <t>Yes/local files</t>
  </si>
  <si>
    <t>Free / Base File Upload Limit</t>
  </si>
  <si>
    <t>20 MB free; 50 MB Nitro Basic; 500 MB Nitro</t>
  </si>
  <si>
    <t>25 MB free</t>
  </si>
  <si>
    <t>25 MB</t>
  </si>
  <si>
    <t>Homeserver-dependent</t>
  </si>
  <si>
    <t>Operator-configurable</t>
  </si>
  <si>
    <t>Plan/server configurable</t>
  </si>
  <si>
    <t>Admin-configurable</t>
  </si>
  <si>
    <t>500 MB free</t>
  </si>
  <si>
    <t>50 MB images; 100 MB video/other files</t>
  </si>
  <si>
    <t>Server-configurable</t>
  </si>
  <si>
    <t>Relay-dependent</t>
  </si>
  <si>
    <t>Local/device storage</t>
  </si>
  <si>
    <t>Operator configured</t>
  </si>
  <si>
    <t>Message Reactions</t>
  </si>
  <si>
    <t>Message Editing</t>
  </si>
  <si>
    <t>Message Deletion</t>
  </si>
  <si>
    <t>Inline Replies</t>
  </si>
  <si>
    <t>Yes via reply relation</t>
  </si>
  <si>
    <t>Limited text replies N/A</t>
  </si>
  <si>
    <t>Pinned Messages</t>
  </si>
  <si>
    <t>Yes — channel pins + Shard pin feed</t>
  </si>
  <si>
    <t>Search</t>
  </si>
  <si>
    <t>Yes — server message search; Server Discovery exists for eligible public communities</t>
  </si>
  <si>
    <t>Yes/target</t>
  </si>
  <si>
    <t>Yes — typo-tolerant search with filters; federated authorities are queried directly; developer reports no search-depth cap</t>
  </si>
  <si>
    <t>Invites</t>
  </si>
  <si>
    <t>Project Snapshot</t>
  </si>
  <si>
    <t>Public Release Date</t>
  </si>
  <si>
    <t>2015-05-13</t>
  </si>
  <si>
    <t>Alpha access in 2026; public v1 release not yet</t>
  </si>
  <si>
    <t>2026-01-02 public release</t>
  </si>
  <si>
    <t>2014-09-03 (first public alpha)</t>
  </si>
  <si>
    <t>2001 first public release</t>
  </si>
  <si>
    <t>2012 hosted; open-sourced 2015</t>
  </si>
  <si>
    <t>2026 open beta</t>
  </si>
  <si>
    <t>Public beta in 2026</t>
  </si>
  <si>
    <t>Open beta 2026</t>
  </si>
  <si>
    <t>Alpha/beta 2026</t>
  </si>
  <si>
    <t>Alpha/public 2026</t>
  </si>
  <si>
    <t>Public beta/service 2026</t>
  </si>
  <si>
    <t>Early public 2026</t>
  </si>
  <si>
    <t>Early public project</t>
  </si>
  <si>
    <t>Public beta/dev 2026</t>
  </si>
  <si>
    <t>Public alpha/beta 2026</t>
  </si>
  <si>
    <t>Public project by 2024</t>
  </si>
  <si>
    <t>Public 2026</t>
  </si>
  <si>
    <t>Public beta 2026</t>
  </si>
  <si>
    <t>Alpha/public before 2026</t>
  </si>
  <si>
    <t>No formal public launch</t>
  </si>
  <si>
    <t>Current State (α / β / final)</t>
  </si>
  <si>
    <t>Development State</t>
  </si>
  <si>
    <t>Active development</t>
  </si>
  <si>
    <t>Active</t>
  </si>
  <si>
    <t>Active alpha</t>
  </si>
  <si>
    <t>Active standard + ecosystem</t>
  </si>
  <si>
    <t>Active experimental</t>
  </si>
  <si>
    <t>Actively developed; pre-launch</t>
  </si>
  <si>
    <t>Developer Team Size</t>
  </si>
  <si>
    <t>Solo founder-led / very small team</t>
  </si>
  <si>
    <t>Matrix.org Foundation + many independent implementers</t>
  </si>
  <si>
    <t>Community open-source project</t>
  </si>
  <si>
    <t>Commercial company</t>
  </si>
  <si>
    <t>Independent company + open-source community</t>
  </si>
  <si>
    <t>Mattermost, Inc. + open-source community</t>
  </si>
  <si>
    <t>Rocket.Chat company + open-source community</t>
  </si>
  <si>
    <t>Founder-led / small team</t>
  </si>
  <si>
    <t>Small hobby/community project</t>
  </si>
  <si>
    <t>Small startup team</t>
  </si>
  <si>
    <t>Small team</t>
  </si>
  <si>
    <t>Small team / founder-led</t>
  </si>
  <si>
    <t>Company/open-source team</t>
  </si>
  <si>
    <t>Small team/founder-led</t>
  </si>
  <si>
    <t>Small volunteer team</t>
  </si>
  <si>
    <t>Small open-source team</t>
  </si>
  <si>
    <t>Solo developer</t>
  </si>
  <si>
    <t>Solo/very small contributor group</t>
  </si>
  <si>
    <t>Small company/team</t>
  </si>
  <si>
    <t>Solo/small open-source team</t>
  </si>
  <si>
    <t>Tiny Canadian team</t>
  </si>
  <si>
    <t>Volunteer/open-source team</t>
  </si>
  <si>
    <t>1 primary developer; security-researcher friend provides private review/bug reports (developer report)</t>
  </si>
  <si>
    <t>Discovery &amp; Search</t>
  </si>
  <si>
    <t>Server Search</t>
  </si>
  <si>
    <t>DM Search</t>
  </si>
  <si>
    <t>Channel / Room Search</t>
  </si>
  <si>
    <t>Messages &amp; Rich Content</t>
  </si>
  <si>
    <t>Spoiler Formatting</t>
  </si>
  <si>
    <t>Code Blocks</t>
  </si>
  <si>
    <t>Voice Messages</t>
  </si>
  <si>
    <t>Yes — voice notes + transcription</t>
  </si>
  <si>
    <t>Yes — voice messages (developer report)</t>
  </si>
  <si>
    <t>Emoji, Stickers &amp; Pins</t>
  </si>
  <si>
    <t>Integrated Emoji</t>
  </si>
  <si>
    <t>Custom Emoji</t>
  </si>
  <si>
    <t>Custom emoji yes</t>
  </si>
  <si>
    <t>Custom Stickers</t>
  </si>
  <si>
    <t>Pinned Server Messages</t>
  </si>
  <si>
    <t>Pinned DM Messages</t>
  </si>
  <si>
    <t>Identity &amp; Membership</t>
  </si>
  <si>
    <t>User Profiles</t>
  </si>
  <si>
    <t>User identities</t>
  </si>
  <si>
    <t>ATProto profile</t>
  </si>
  <si>
    <t>Key-based profile</t>
  </si>
  <si>
    <t>Per-Community Profiles</t>
  </si>
  <si>
    <t>Yes — per-server profiles; some customization requires Nitro</t>
  </si>
  <si>
    <t>Yes — server-specific profiles free</t>
  </si>
  <si>
    <t>Server-specific</t>
  </si>
  <si>
    <t>Per-organization profile</t>
  </si>
  <si>
    <t>ATProto identity</t>
  </si>
  <si>
    <t>Nostr identity</t>
  </si>
  <si>
    <t>Server profile</t>
  </si>
  <si>
    <t>Planet profile</t>
  </si>
  <si>
    <t>Crew/lobby identity</t>
  </si>
  <si>
    <t>Member Lists</t>
  </si>
  <si>
    <t>Presence / Status</t>
  </si>
  <si>
    <t>Block / Mute Users</t>
  </si>
  <si>
    <t>Permissions &amp; Structure</t>
  </si>
  <si>
    <t>Granular Role Permissions</t>
  </si>
  <si>
    <t>Yes via room power levels</t>
  </si>
  <si>
    <t>Yes — detailed ACLs</t>
  </si>
  <si>
    <t>Server permissions</t>
  </si>
  <si>
    <t>Discord-compatible</t>
  </si>
  <si>
    <t>Hierarchies</t>
  </si>
  <si>
    <t>Yes — role hierarchy</t>
  </si>
  <si>
    <t>Spaces/rooms hierarchy supported</t>
  </si>
  <si>
    <t>Yes — channel hierarchy</t>
  </si>
  <si>
    <t>Stream/topic hierarchy</t>
  </si>
  <si>
    <t>Teams/channels</t>
  </si>
  <si>
    <t>Spaces</t>
  </si>
  <si>
    <t>Lobby/room hierarchy</t>
  </si>
  <si>
    <t>Channel Overrides</t>
  </si>
  <si>
    <t>Yes — channel-level permissions</t>
  </si>
  <si>
    <t>Room-level permissions</t>
  </si>
  <si>
    <t>Yes — ACL inheritance/overrides</t>
  </si>
  <si>
    <t>Stream permissions</t>
  </si>
  <si>
    <t>Three-State Allow / Deny / Inherit</t>
  </si>
  <si>
    <t>Partial / permission overwrites</t>
  </si>
  <si>
    <t>Yes — explicit allow/deny/inherit</t>
  </si>
  <si>
    <t>Not explicitly documented as a three-state UI model</t>
  </si>
  <si>
    <t>Structured Conversation</t>
  </si>
  <si>
    <t>Forum Channels / Boards</t>
  </si>
  <si>
    <t>No native forums verified</t>
  </si>
  <si>
    <t>Planned; not current</t>
  </si>
  <si>
    <t>No dedicated forum channel verified</t>
  </si>
  <si>
    <t>No native forum verified</t>
  </si>
  <si>
    <t>Topic model functions like structured threads rather than forums</t>
  </si>
  <si>
    <t>No native forum channel</t>
  </si>
  <si>
    <t>Discussions/threads rather than forum channel</t>
  </si>
  <si>
    <t>Forum-like docs/posts</t>
  </si>
  <si>
    <t>Threads</t>
  </si>
  <si>
    <t>Thread feed</t>
  </si>
  <si>
    <t>Persistent channels/threads</t>
  </si>
  <si>
    <t>Threads supported by capable clients</t>
  </si>
  <si>
    <t>Yes — topics are first-class threading</t>
  </si>
  <si>
    <t>Threads supported</t>
  </si>
  <si>
    <t>Yes — document/thread model</t>
  </si>
  <si>
    <t>Private Threads</t>
  </si>
  <si>
    <t>Forum Tags / Flair</t>
  </si>
  <si>
    <t>Yes — tags, flair, tag groups &amp; filters</t>
  </si>
  <si>
    <t>Yes — forum/thread metadata includes tags; exact tag UX/limits not fully reviewed</t>
  </si>
  <si>
    <t>Polls</t>
  </si>
  <si>
    <t>No native polls verified</t>
  </si>
  <si>
    <t>Polling via app</t>
  </si>
  <si>
    <t>Matrix poll events supported by capable clients</t>
  </si>
  <si>
    <t>Polls via integrations/plugins</t>
  </si>
  <si>
    <t>Polls/apps</t>
  </si>
  <si>
    <t>Polls exist as message/application content; no dedicated poll channel type verified</t>
  </si>
  <si>
    <t>Scheduled Community Events</t>
  </si>
  <si>
    <t>Yes — Scheduled Events</t>
  </si>
  <si>
    <t>No native scheduled events verified</t>
  </si>
  <si>
    <t>Yes — events</t>
  </si>
  <si>
    <t>Events/raid planning via apps</t>
  </si>
  <si>
    <t>No Discord-style server events; integrations possible</t>
  </si>
  <si>
    <t>Playbooks/events/integrations; no Discord Scheduled Events equivalent</t>
  </si>
  <si>
    <t>Calendar/apps/integrations; no Discord event equivalent core</t>
  </si>
  <si>
    <t>Yes — calendars/events</t>
  </si>
  <si>
    <t>Events/economy tooling</t>
  </si>
  <si>
    <t>Built-in events/tournaments</t>
  </si>
  <si>
    <t>Forms / Structured Responses</t>
  </si>
  <si>
    <t>Via apps/bots; no native channel form</t>
  </si>
  <si>
    <t>Yes — native forms</t>
  </si>
  <si>
    <t>Message Automation</t>
  </si>
  <si>
    <t>Scheduled Messages</t>
  </si>
  <si>
    <t>No native scheduled send</t>
  </si>
  <si>
    <t>Yes — scheduled messages</t>
  </si>
  <si>
    <t>Disappearing / Auto-Delete Messages</t>
  </si>
  <si>
    <t>No general native per-channel timer</t>
  </si>
  <si>
    <t>Client/server dependent</t>
  </si>
  <si>
    <t>Yes — per-channel</t>
  </si>
  <si>
    <t>Message Forwarding Controls</t>
  </si>
  <si>
    <t>Yes — secure forwarding supports plaintext↔E2EE policy checks and attachment re-encryption</t>
  </si>
  <si>
    <t>Reply to Multiple Messages</t>
  </si>
  <si>
    <t>No native multi-reply composer</t>
  </si>
  <si>
    <t>Conversation Channels</t>
  </si>
  <si>
    <t>Text</t>
  </si>
  <si>
    <t>Yes — Text channel</t>
  </si>
  <si>
    <t>Room (client convention)</t>
  </si>
  <si>
    <t>Channel/stream</t>
  </si>
  <si>
    <t>Voice</t>
  </si>
  <si>
    <t>Yes — Voice channel</t>
  </si>
  <si>
    <t>Voice Room Launcher / Temporary Voice</t>
  </si>
  <si>
    <t>No native launcher; bots can create temp rooms</t>
  </si>
  <si>
    <t>Yes — auto-spawn/delete voice rooms</t>
  </si>
  <si>
    <t>No temporary/launcher voice-channel type documented</t>
  </si>
  <si>
    <t>Forum</t>
  </si>
  <si>
    <t>Yes — Forum channel</t>
  </si>
  <si>
    <t>Client-dependent / room conventions</t>
  </si>
  <si>
    <t>Yes — tags, flair, voting</t>
  </si>
  <si>
    <t>Gallery / Media Grid</t>
  </si>
  <si>
    <t>No native</t>
  </si>
  <si>
    <t>Via app</t>
  </si>
  <si>
    <t>Extensible/client-dependent</t>
  </si>
  <si>
    <t>Media/forum view</t>
  </si>
  <si>
    <t>Media Channels</t>
  </si>
  <si>
    <t>Yes — native Gallery channel</t>
  </si>
  <si>
    <t>No dedicated gallery/media-grid channel documented</t>
  </si>
  <si>
    <t>Announcement / Read-Only Broadcast</t>
  </si>
  <si>
    <t>Yes — Announcement channel</t>
  </si>
  <si>
    <t>Permissions-based room</t>
  </si>
  <si>
    <t>Yes — Announcements</t>
  </si>
  <si>
    <t>Yes — announcement channels/threads are documented and developer also reports announcements</t>
  </si>
  <si>
    <t>Stage / Broadcast Voice</t>
  </si>
  <si>
    <t>Yes — Stage channel</t>
  </si>
  <si>
    <t>Permissions-based</t>
  </si>
  <si>
    <t>No dedicated Stage channel; voice room launcher + permissions</t>
  </si>
  <si>
    <t>Yes — developer reports Stage channels</t>
  </si>
  <si>
    <t>Interactive &amp; Support Channels</t>
  </si>
  <si>
    <t>No dedicated channel; native poll messages</t>
  </si>
  <si>
    <t>Via Polling App</t>
  </si>
  <si>
    <t>Poll events in capable clients</t>
  </si>
  <si>
    <t>Via integrations</t>
  </si>
  <si>
    <t>Poll integrations</t>
  </si>
  <si>
    <t>Poll apps</t>
  </si>
  <si>
    <t>Native polls</t>
  </si>
  <si>
    <t>Yes — native Poll channel</t>
  </si>
  <si>
    <t>Polls are native message/application content, not a dedicated channel type</t>
  </si>
  <si>
    <t>Tickets</t>
  </si>
  <si>
    <t>No native ticket channel; bots/apps commonly provide tickets</t>
  </si>
  <si>
    <t>Via integrations/bots</t>
  </si>
  <si>
    <t>Integrations</t>
  </si>
  <si>
    <t>Apps</t>
  </si>
  <si>
    <t>Yes — private support threads/status/assignee/transcript</t>
  </si>
  <si>
    <t>No native ticket/counting/highlights/welcome/wiki/document/live-board/roster/web-link/RSS/whiteboard/tabletop channel type documented</t>
  </si>
  <si>
    <t>Counting</t>
  </si>
  <si>
    <t>No native channel type; bots/apps can emulate counting</t>
  </si>
  <si>
    <t>Yes — native count, leaderboard, history</t>
  </si>
  <si>
    <t>Highlights</t>
  </si>
  <si>
    <t>No dedicated native channel; pins/forums can approximate</t>
  </si>
  <si>
    <t>Yes — native Highlights channel</t>
  </si>
  <si>
    <t>Arrivals / Welcome</t>
  </si>
  <si>
    <t>No dedicated arrival channel; system channels can announce joins</t>
  </si>
  <si>
    <t>Arrivals/presence</t>
  </si>
  <si>
    <t>Forms / Applications</t>
  </si>
  <si>
    <t>No native form channel; apps/bots</t>
  </si>
  <si>
    <t>Yes — forms can be posted in channels</t>
  </si>
  <si>
    <t>Persistent Knowledge &amp; Work</t>
  </si>
  <si>
    <t>Wiki</t>
  </si>
  <si>
    <t>No native wiki channel type</t>
  </si>
  <si>
    <t>Wiki/docs-like</t>
  </si>
  <si>
    <t>Yes — pages, sections, drafts, files</t>
  </si>
  <si>
    <t>Document</t>
  </si>
  <si>
    <t>No native document channel type</t>
  </si>
  <si>
    <t>Documentation pages</t>
  </si>
  <si>
    <t>Yes — document channel, folders, whiteboards</t>
  </si>
  <si>
    <t>Tasks / Kanban</t>
  </si>
  <si>
    <t>No native task channel type</t>
  </si>
  <si>
    <t>No dedicated task channel</t>
  </si>
  <si>
    <t>Boards/tasks via products/plugins</t>
  </si>
  <si>
    <t>Tasks</t>
  </si>
  <si>
    <t>Yes — task boards, assignees, blockers, archive</t>
  </si>
  <si>
    <t>Tasks/modules</t>
  </si>
  <si>
    <t>Yes — type-17 task tracker with boards, lanes and tasks</t>
  </si>
  <si>
    <t>Live Board / Status Board</t>
  </si>
  <si>
    <t>Yes — live status cards / tool-fed boards</t>
  </si>
  <si>
    <t>Roster / Team List</t>
  </si>
  <si>
    <t>No native roster channel type</t>
  </si>
  <si>
    <t>Via app (Raid Planner)</t>
  </si>
  <si>
    <t>Experimental — dynamic role/member-derived roster</t>
  </si>
  <si>
    <t>Roster/team modules</t>
  </si>
  <si>
    <t>Web Link / Shortcut</t>
  </si>
  <si>
    <t>No native web-link channel type; links/embeds can be posted</t>
  </si>
  <si>
    <t>ATProto links</t>
  </si>
  <si>
    <t>Yes — Link channel</t>
  </si>
  <si>
    <t>Web/media stage</t>
  </si>
  <si>
    <t>Calendar / Events</t>
  </si>
  <si>
    <t>Partial — Scheduled Events, not a channel</t>
  </si>
  <si>
    <t>Events rather than calendar channel</t>
  </si>
  <si>
    <t>No dedicated calendar; integrations</t>
  </si>
  <si>
    <t>Calendar apps/integrations</t>
  </si>
  <si>
    <t>Events</t>
  </si>
  <si>
    <t>Calendar</t>
  </si>
  <si>
    <t>Yes — Shard events + multiple calendars</t>
  </si>
  <si>
    <t>Scheduled events exist, but no dedicated calendar channel type verified</t>
  </si>
  <si>
    <t>RSS / Feed</t>
  </si>
  <si>
    <t>No native; webhooks/apps</t>
  </si>
  <si>
    <t>Portal rather than channel — built-in RSS reader</t>
  </si>
  <si>
    <t>Whiteboard</t>
  </si>
  <si>
    <t>Activities/apps</t>
  </si>
  <si>
    <t>Yes — within Documents</t>
  </si>
  <si>
    <t>Tabletop</t>
  </si>
  <si>
    <t>Experimental — dedicated Tabletop workspace/channel</t>
  </si>
  <si>
    <t>Presence, Audio &amp; Desktop</t>
  </si>
  <si>
    <t>Rich Presence</t>
  </si>
  <si>
    <t>Yes — Rich Presence</t>
  </si>
  <si>
    <t>Discord-compatible target</t>
  </si>
  <si>
    <t>Game integration/positional audio</t>
  </si>
  <si>
    <t>Game-oriented presence/plugins</t>
  </si>
  <si>
    <t>No game rich presence</t>
  </si>
  <si>
    <t>Integrations/status</t>
  </si>
  <si>
    <t>Rich presence/overlay</t>
  </si>
  <si>
    <t>Rich Presence extension</t>
  </si>
  <si>
    <t>Twitch integration/badges</t>
  </si>
  <si>
    <t>Portal/tool integrations</t>
  </si>
  <si>
    <t>Deep game presence</t>
  </si>
  <si>
    <t>Yes — developer-reported</t>
  </si>
  <si>
    <t>Voice Overlay</t>
  </si>
  <si>
    <t>Yes — game overlay</t>
  </si>
  <si>
    <t>Client/plugin dependent</t>
  </si>
  <si>
    <t>Yes — desktop voice overlay</t>
  </si>
  <si>
    <t>Not documented</t>
  </si>
  <si>
    <t>Server / Community Soundboards</t>
  </si>
  <si>
    <t>Yes — server Soundboard</t>
  </si>
  <si>
    <t>No native soundboard verified</t>
  </si>
  <si>
    <t>No native soundboard</t>
  </si>
  <si>
    <t>No native gaming soundboard</t>
  </si>
  <si>
    <t>Yes — imported soundboard</t>
  </si>
  <si>
    <t>Yes — guild soundboards are exposed in the official Python SDK</t>
  </si>
  <si>
    <t>Personal Soundboard</t>
  </si>
  <si>
    <t>Partial — server soundboards can be used/favorited; no separate personal soundboard</t>
  </si>
  <si>
    <t>Scope not separately documented; guild soundboards are verified</t>
  </si>
  <si>
    <t>Voice Changer</t>
  </si>
  <si>
    <t>Plugin dependent</t>
  </si>
  <si>
    <t>No native voice changer documented</t>
  </si>
  <si>
    <t>Community Engagement</t>
  </si>
  <si>
    <t>Leveling / XP</t>
  </si>
  <si>
    <t>No native; bots/apps</t>
  </si>
  <si>
    <t>Yes — opt-in XP, roles/unlocks, leaderboard</t>
  </si>
  <si>
    <t>No native leveling/XP system documented</t>
  </si>
  <si>
    <t>Giveaways / Raffles</t>
  </si>
  <si>
    <t>Yes — verifiable cryptographic draw</t>
  </si>
  <si>
    <t>No native giveaways/raffles system documented</t>
  </si>
  <si>
    <t>Reaction Roles</t>
  </si>
  <si>
    <t>No native general reaction-role builder; bots/apps</t>
  </si>
  <si>
    <t>Live Stream Alerts</t>
  </si>
  <si>
    <t>Bots/webhooks/apps</t>
  </si>
  <si>
    <t>Yes — Twitch EventSub live alerts</t>
  </si>
  <si>
    <t>Shared Availability</t>
  </si>
  <si>
    <t>No dedicated native availability tool</t>
  </si>
  <si>
    <t>Text Macros</t>
  </si>
  <si>
    <t>No native macro system</t>
  </si>
  <si>
    <t>Dice Rolls</t>
  </si>
  <si>
    <t>Apps/bots</t>
  </si>
  <si>
    <t>Make &amp; Play</t>
  </si>
  <si>
    <t>Activities/apps can provide tabletop</t>
  </si>
  <si>
    <t>Apps can implement tabletop-like experiences</t>
  </si>
  <si>
    <t>No dedicated tabletop</t>
  </si>
  <si>
    <t>Experimental — native Tabletop workspace</t>
  </si>
  <si>
    <t>Yes — D&amp;D module/maps</t>
  </si>
  <si>
    <t>Arcade / Mini Games</t>
  </si>
  <si>
    <t>Yes — Activities include games</t>
  </si>
  <si>
    <t>Experimental — Arcade</t>
  </si>
  <si>
    <t>No dedicated embedded-app implementation documented</t>
  </si>
  <si>
    <t>Music Creation / Studio</t>
  </si>
  <si>
    <t>No native DAW</t>
  </si>
  <si>
    <t>Experimental — Rift Studio</t>
  </si>
  <si>
    <t>Watch Parties</t>
  </si>
  <si>
    <t>Activities can provide co-watching</t>
  </si>
  <si>
    <t>Yes — synchronized YouTube/Twitch Watch Party</t>
  </si>
  <si>
    <t>Platform &amp; Runtime</t>
  </si>
  <si>
    <t>Yes — Activities + Embedded App SDK</t>
  </si>
  <si>
    <t>Client-dependent — Element supports room widgets/custom embedded web pages; not Matrix-wide</t>
  </si>
  <si>
    <t>No comparable embedded UI framework; bots/integrations instead</t>
  </si>
  <si>
    <t>Yes — webapp plugins can inject React/root components</t>
  </si>
  <si>
    <t>Yes — Apps-Engine packages install directly into workspace</t>
  </si>
  <si>
    <t>Yes — Portals embedded beside chat</t>
  </si>
  <si>
    <t>Third-Party App Development SDK / Framework</t>
  </si>
  <si>
    <t>Yes — @discord/embedded-app-sdk</t>
  </si>
  <si>
    <t>Client/integration-manager dependent</t>
  </si>
  <si>
    <t>APIs/bot frameworks, not embedded UI</t>
  </si>
  <si>
    <t>Yes — plugin webapp APIs</t>
  </si>
  <si>
    <t>Yes — Apps-Engine (TypeScript)</t>
  </si>
  <si>
    <t>Yes for bots/apps — Python SDK plus scoped REST/Gateway APIs; not an iframe runtime</t>
  </si>
  <si>
    <t>App Directory / Marketplace</t>
  </si>
  <si>
    <t>Yes — App Directory / platform apps</t>
  </si>
  <si>
    <t>Client-dependent integration manager/catalog</t>
  </si>
  <si>
    <t>Yes — integration directory, not embedded apps</t>
  </si>
  <si>
    <t>Plugin marketplace/ecosystem</t>
  </si>
  <si>
    <t>Yes — Marketplace</t>
  </si>
  <si>
    <t>No public marketplace documented</t>
  </si>
  <si>
    <t>Yes — federated App Directory for reviewed applications/bots</t>
  </si>
  <si>
    <t>Runs Inside Chat Client</t>
  </si>
  <si>
    <t>Yes — Activities run inside Discord</t>
  </si>
  <si>
    <t>Client-dependent widgets</t>
  </si>
  <si>
    <t>Integrations generally act through messages/bots</t>
  </si>
  <si>
    <t>Yes — plugins can extend web/desktop UI</t>
  </si>
  <si>
    <t>Yes — apps extend workspace</t>
  </si>
  <si>
    <t>Yes — Portals live in the Rift workspace</t>
  </si>
  <si>
    <t>Commands/App Launcher integrate with the composer; no arbitrary embedded web-app runtime</t>
  </si>
  <si>
    <t>Shared / Synchronized Multi-User Sessions</t>
  </si>
  <si>
    <t>Yes — Activities are multiplayer/social sessions</t>
  </si>
  <si>
    <t>Widget-dependent</t>
  </si>
  <si>
    <t>Bot/integration-dependent</t>
  </si>
  <si>
    <t>Plugin-dependent</t>
  </si>
  <si>
    <t>App-dependent</t>
  </si>
  <si>
    <t>Yes — Watch Parties; Arcade/Tabletop collaborative experiences</t>
  </si>
  <si>
    <t>No dedicated synchronized embedded-app session framework</t>
  </si>
  <si>
    <t>Launch from Channel / Conversation</t>
  </si>
  <si>
    <t>Yes — channels, DMs, App Launcher</t>
  </si>
  <si>
    <t>Client-dependent room widgets</t>
  </si>
  <si>
    <t>Bots/integrations can be invoked in conversation</t>
  </si>
  <si>
    <t>Yes — Portals alongside chat; some tools post into channels</t>
  </si>
  <si>
    <t>Yes — App Launcher/slash commands can launch app interactions from a conversation</t>
  </si>
  <si>
    <t>Mobile Embedded App Support</t>
  </si>
  <si>
    <t>Yes — Embedded App SDK supports iOS/Android</t>
  </si>
  <si>
    <t>Client/widget dependent</t>
  </si>
  <si>
    <t>Integrations available; not embedded UI</t>
  </si>
  <si>
    <t>Plugin/mobile support varies</t>
  </si>
  <si>
    <t>App/mobile support varies</t>
  </si>
  <si>
    <t>Web/PWA/mobile behavior varies by Portal; no dedicated mobile app marketplace</t>
  </si>
  <si>
    <t>Yes for bot/app interactions on mobile; no embedded iframe/activity runtime</t>
  </si>
  <si>
    <t>Workspace &amp; Layout</t>
  </si>
  <si>
    <t>Drag / Resize Embedded Apps</t>
  </si>
  <si>
    <t>No general workspace layout</t>
  </si>
  <si>
    <t>Multiple Apps Visible Beside Chat</t>
  </si>
  <si>
    <t>Limited — Activity/PiP model, not freeform dashboard</t>
  </si>
  <si>
    <t>Yes — multi-panel workspace</t>
  </si>
  <si>
    <t>Save Named App Layouts / Workspaces</t>
  </si>
  <si>
    <t>No general feature</t>
  </si>
  <si>
    <t>No general user layout feature</t>
  </si>
  <si>
    <t>Pop App / Chat into Separate Window</t>
  </si>
  <si>
    <t>Activity/PiP behavior varies</t>
  </si>
  <si>
    <t>Client/app dependent</t>
  </si>
  <si>
    <t>Yes — tear out chat or Portal to own window</t>
  </si>
  <si>
    <t>Per-User Personal Apps / Widgets</t>
  </si>
  <si>
    <t>Yes — user-installed apps / Activities</t>
  </si>
  <si>
    <t>Personal bots/integrations possible</t>
  </si>
  <si>
    <t>Plugin/admin controlled</t>
  </si>
  <si>
    <t>Workspace/admin controlled</t>
  </si>
  <si>
    <t>Yes — personal Portals such as to-dos/watchlists</t>
  </si>
  <si>
    <t>Per-Community / Shared Apps</t>
  </si>
  <si>
    <t>Yes — guild-installed apps/Activities</t>
  </si>
  <si>
    <t>Room widgets</t>
  </si>
  <si>
    <t>Organization integrations</t>
  </si>
  <si>
    <t>Workspace plugins</t>
  </si>
  <si>
    <t>Workspace apps</t>
  </si>
  <si>
    <t>Yes — Shard-aware tools/events + shared sessions</t>
  </si>
  <si>
    <t>Media &amp; Entertainment Apps</t>
  </si>
  <si>
    <t>YouTube Viewer</t>
  </si>
  <si>
    <t>Via Activities/apps</t>
  </si>
  <si>
    <t>Widget/integration dependent</t>
  </si>
  <si>
    <t>Yes — YouTube Portal</t>
  </si>
  <si>
    <t>Twitch Viewer</t>
  </si>
  <si>
    <t>Via apps/links</t>
  </si>
  <si>
    <t>Yes — Twitch Portal</t>
  </si>
  <si>
    <t>Synchronized Watch Party</t>
  </si>
  <si>
    <t>Yes — Activities can provide co-watching</t>
  </si>
  <si>
    <t>Yes — host-synchronized YouTube/Twitch Watch Party</t>
  </si>
  <si>
    <t>Internet Radio</t>
  </si>
  <si>
    <t>Yes — Radio Portal</t>
  </si>
  <si>
    <t>Soundboard App</t>
  </si>
  <si>
    <t>Native soundboard + apps</t>
  </si>
  <si>
    <t>Yes — Portal + native personal/Shard soundboards</t>
  </si>
  <si>
    <t>Game Library / Game Night Tool</t>
  </si>
  <si>
    <t>Activities/game integrations</t>
  </si>
  <si>
    <t>Yes — Steam library + overlap + Game Night voting</t>
  </si>
  <si>
    <t>Yes — Activities ecosystem</t>
  </si>
  <si>
    <t>Tabletop / Virtual Tabletop</t>
  </si>
  <si>
    <t>Experimental — native Tabletop</t>
  </si>
  <si>
    <t>Music Creation / DAW</t>
  </si>
  <si>
    <t>No first-party DAW</t>
  </si>
  <si>
    <t>Productivity &amp; Information Apps</t>
  </si>
  <si>
    <t>Weather</t>
  </si>
  <si>
    <t>Integrations/bots possible</t>
  </si>
  <si>
    <t>Apps possible</t>
  </si>
  <si>
    <t>Yes — Weather + Windy radar</t>
  </si>
  <si>
    <t>Apps/bots; Scheduled Events native</t>
  </si>
  <si>
    <t>Element integrations can include calendar widgets</t>
  </si>
  <si>
    <t>Integrations possible</t>
  </si>
  <si>
    <t>Yes — personal + Shard calendars, iCal sync</t>
  </si>
  <si>
    <t>To-Do List</t>
  </si>
  <si>
    <t>Integrations/bots</t>
  </si>
  <si>
    <t>Yes — personal To-do Portal</t>
  </si>
  <si>
    <t>RSS / Feed Reader</t>
  </si>
  <si>
    <t>Apps/webhooks</t>
  </si>
  <si>
    <t>Element integration ecosystem includes feeds</t>
  </si>
  <si>
    <t>Native integrations/webhooks</t>
  </si>
  <si>
    <t>Yes — built-in Feeds/RSS Portal</t>
  </si>
  <si>
    <t>Stocks / Crypto Watchlist</t>
  </si>
  <si>
    <t>Bots/integrations</t>
  </si>
  <si>
    <t>Yes — Markets Portal</t>
  </si>
  <si>
    <t>Sports / Fantasy</t>
  </si>
  <si>
    <t>Yes — Portal</t>
  </si>
  <si>
    <t>Mini Browser / Embedded Web</t>
  </si>
  <si>
    <t>Activities are sandboxed embedded web apps; not a general browser</t>
  </si>
  <si>
    <t>Custom widgets can embed web pages in supported clients</t>
  </si>
  <si>
    <t>Yes — Mini Browser Portal</t>
  </si>
  <si>
    <t>Post-It / Sticky Notes</t>
  </si>
  <si>
    <t>Yes — Post-it Portal</t>
  </si>
  <si>
    <t>World Clock</t>
  </si>
  <si>
    <t>Yes — World Clock Portal</t>
  </si>
  <si>
    <t>System Monitor</t>
  </si>
  <si>
    <t>No first-party hardware monitor</t>
  </si>
  <si>
    <t>Yes — desktop-only CPU/GPU/RAM/VRAM/temp/disk/network HUD</t>
  </si>
  <si>
    <t>Developer &amp; Governance</t>
  </si>
  <si>
    <t>App Permissions / Scopes</t>
  </si>
  <si>
    <t>Yes — OAuth2 + SDK scopes</t>
  </si>
  <si>
    <t>Client/widget/integration dependent</t>
  </si>
  <si>
    <t>Bot type + API key/permissions</t>
  </si>
  <si>
    <t>Admin/plugin permission model</t>
  </si>
  <si>
    <t>Apps-Engine permission model</t>
  </si>
  <si>
    <t>Yes — granular REST scopes, Gateway intents, guild permissions, E2EE modes and exact-instance allow/deny policies</t>
  </si>
  <si>
    <t>Private / Sideloaded Apps</t>
  </si>
  <si>
    <t>Development/private apps supported</t>
  </si>
  <si>
    <t>Custom widgets supported in Element deployments</t>
  </si>
  <si>
    <t>Custom bots/integrations</t>
  </si>
  <si>
    <t>Yes — uploaded plugins depending admin policy</t>
  </si>
  <si>
    <t>Yes — private apps on supported plans</t>
  </si>
  <si>
    <t>Yes — apps can be installed by invite without public-directory listing</t>
  </si>
  <si>
    <t>Paid Apps / In-App Purchases</t>
  </si>
  <si>
    <t>Yes — Activity SKUs/IAP supported</t>
  </si>
  <si>
    <t>Provider/app dependent</t>
  </si>
  <si>
    <t>Integration vendor dependent</t>
  </si>
  <si>
    <t>Marketplace/plugin dependent</t>
  </si>
  <si>
    <t>Yes — paid marketplace apps</t>
  </si>
  <si>
    <t>No current paid-app/IAP system documented</t>
  </si>
  <si>
    <t>Embedded App Notes</t>
  </si>
  <si>
    <t>Activities are iframe web apps designed for games, social experiences, co-watching and collaborative tools.</t>
  </si>
  <si>
    <t>Do not treat Element widget support as a Matrix-wide guarantee; behavior is client/integration-manager dependent.</t>
  </si>
  <si>
    <t>Extensibility is strong through bots, webhooks and 120+ integrations, but not as an embedded-app workspace.</t>
  </si>
  <si>
    <t>Plugin webapps can deeply extend client UI but are admin-installed extensions rather than a consumer-style Activity launcher.</t>
  </si>
  <si>
    <t>Apps-Engine/Marketplace extends a workspace; app UI model varies by app.</t>
  </si>
  <si>
    <t>Portals are a core workspace model: draggable/resizable apps beside chat, with saved layouts. Rift also documents experimental Studio, Arcade and Tabletop.</t>
  </si>
  <si>
    <t>Bot/application ecosystem with Developer Portal, federated installs and App Directory; not a Discord Activity/iframe model</t>
  </si>
  <si>
    <t>Membership &amp; Communities</t>
  </si>
  <si>
    <t>Max Communities / Servers Joined (Free)</t>
  </si>
  <si>
    <t>100</t>
  </si>
  <si>
    <t>Unlimited Shards (published plan)</t>
  </si>
  <si>
    <t>Max Communities / Servers Joined (Paid)</t>
  </si>
  <si>
    <t>200 with Nitro</t>
  </si>
  <si>
    <t>200</t>
  </si>
  <si>
    <t>Unlimited Shards</t>
  </si>
  <si>
    <t>Max Members per Community (Free)</t>
  </si>
  <si>
    <t>32 slots self-host free</t>
  </si>
  <si>
    <t>No published member cap / thousands supported</t>
  </si>
  <si>
    <t>Unlimited</t>
  </si>
  <si>
    <t>No seat limits for using public lobbies</t>
  </si>
  <si>
    <t>Max Members per Community (Paid)</t>
  </si>
  <si>
    <t>Hosted 11/27/64 incl. bonus; self-host up to 1024 licensed</t>
  </si>
  <si>
    <t>200 Silver / 500 Gold / Unlimited Diamond</t>
  </si>
  <si>
    <t>Unlimited Members Available?</t>
  </si>
  <si>
    <t>Yes — Diamond</t>
  </si>
  <si>
    <t>Yes / no published Clan cap</t>
  </si>
  <si>
    <t>No seat limits for platform use; custom builds sized by community</t>
  </si>
  <si>
    <t>Channels &amp; Roles</t>
  </si>
  <si>
    <t>Max Text Channels</t>
  </si>
  <si>
    <t>Max Voice Channels</t>
  </si>
  <si>
    <t>5 free / 9 Silver / 18 Gold / 64 Diamond</t>
  </si>
  <si>
    <t>Max Total Channels</t>
  </si>
  <si>
    <t>Max Roles</t>
  </si>
  <si>
    <t>Max Categories / Channel Groups</t>
  </si>
  <si>
    <t>Customization Limits</t>
  </si>
  <si>
    <t>Custom Emoji Slots (Free)</t>
  </si>
  <si>
    <t>Server-level slots depend boost/community configuration</t>
  </si>
  <si>
    <t>10 Shard + 10 personal</t>
  </si>
  <si>
    <t>Custom Emoji Slots (Paid Max)</t>
  </si>
  <si>
    <t>500 Diamond</t>
  </si>
  <si>
    <t>100 Shard Forge + 30 personal Rift+</t>
  </si>
  <si>
    <t>Soundboard Slots (Free)</t>
  </si>
  <si>
    <t>8</t>
  </si>
  <si>
    <t>10 Shard + 5 personal</t>
  </si>
  <si>
    <t>Soundboard Slots (Paid Max)</t>
  </si>
  <si>
    <t>48 Diamond</t>
  </si>
  <si>
    <t>75 Shard Forge + 25 personal Rift+</t>
  </si>
  <si>
    <t>Sticker Slots (Free)</t>
  </si>
  <si>
    <t>Sticker Slots (Paid Max)</t>
  </si>
  <si>
    <t>Messaging &amp; Media Limits</t>
  </si>
  <si>
    <t>Message Length (Free)</t>
  </si>
  <si>
    <t>2,000</t>
  </si>
  <si>
    <t>8,000</t>
  </si>
  <si>
    <t>Message Length (Paid Max)</t>
  </si>
  <si>
    <t>4,000 with Nitro</t>
  </si>
  <si>
    <t>4,000</t>
  </si>
  <si>
    <t>16,000 Rift+</t>
  </si>
  <si>
    <t>Group DM Member Limit</t>
  </si>
  <si>
    <t>Webcam Participant Limit</t>
  </si>
  <si>
    <t>25 when video active in server voice</t>
  </si>
  <si>
    <t>Concurrent Screen Share Limit</t>
  </si>
  <si>
    <t>Apps &amp; Automation</t>
  </si>
  <si>
    <t>Max Bots / Apps</t>
  </si>
  <si>
    <t>Guild install cap not located; developer teams may own up to 75 active applications</t>
  </si>
  <si>
    <t>Max Incoming Webhooks</t>
  </si>
  <si>
    <t>5 free / 15 Ember / 30 Forge</t>
  </si>
  <si>
    <t>Not located</t>
  </si>
  <si>
    <t>Max Saved Layouts / Workspaces</t>
  </si>
  <si>
    <t>2 free / 8 Rift+</t>
  </si>
  <si>
    <t>0 — feature not documented</t>
  </si>
  <si>
    <t>Source &amp; Notes</t>
  </si>
  <si>
    <t>Limits Source URL</t>
  </si>
  <si>
    <t>https://support.discord.com/hc/en-us/articles/115000435108-What-are-Nitro-Nitro-Basic</t>
  </si>
  <si>
    <t>https://fluxer.app/plutonium</t>
  </si>
  <si>
    <t>https://support.teamspeak.com/hc/en-us/articles/26033099878045-Current-Community-Options</t>
  </si>
  <si>
    <t>https://gamevox.com/blog/gamevox-vs-discord/</t>
  </si>
  <si>
    <t>https://mezon.ai/docs/user/resources/FAQ/</t>
  </si>
  <si>
    <t>https://therift.chat/de/plans/</t>
  </si>
  <si>
    <t>https://weered.ca/pricing</t>
  </si>
  <si>
    <t>https://kaede.chat/ | https://github.com/CookieNom/KaedeChat</t>
  </si>
  <si>
    <t>Limits Notes</t>
  </si>
  <si>
    <t>Server-wide tiers; all members inherit the server tier.</t>
  </si>
  <si>
    <t>Official-instance capacity limits are not comprehensively published; 15 MB upload comes from developer questionnaire; many self-host quotas are configurable.</t>
  </si>
  <si>
    <t>Additional Capacity Limits</t>
  </si>
  <si>
    <t>Max Forum Tags per Forum</t>
  </si>
  <si>
    <t>Max Scheduled Events</t>
  </si>
  <si>
    <t>Max Concurrent Voice Rooms</t>
  </si>
  <si>
    <t>Channel-count constrained</t>
  </si>
  <si>
    <t>Max Portals / Embedded Panels</t>
  </si>
  <si>
    <t>Activity/session dependent</t>
  </si>
  <si>
    <t>All Portals included; saved layout count is 2 free / 8 Rift+</t>
  </si>
  <si>
    <t>0 — no embedded Portal/widget runtime documented</t>
  </si>
  <si>
    <t>Voice Architecture (Persistent Rooms vs Ad-Hoc Calls)</t>
  </si>
  <si>
    <t>Persistent server voice channels + ad-hoc DM/GDM calls</t>
  </si>
  <si>
    <t>Persistent server voice channels + calls</t>
  </si>
  <si>
    <t>Persistent community voice + calls</t>
  </si>
  <si>
    <t>Persistent community voice + DM calls</t>
  </si>
  <si>
    <t>Client-dependent; MatrixRTC/VoIP rooms and calls</t>
  </si>
  <si>
    <t>Optional persistent guild + DM voice via WebRTC media package</t>
  </si>
  <si>
    <t>Persistent hierarchical voice channels</t>
  </si>
  <si>
    <t>Persistent voice channels</t>
  </si>
  <si>
    <t>No native persistent voice rooms; integrates external call providers</t>
  </si>
  <si>
    <t>Native Calls in channels/DMs; persistent text channels with ad-hoc calls</t>
  </si>
  <si>
    <t>Calls/video depend on deployment/provider/integration; not Discord-style universal persistent voice</t>
  </si>
  <si>
    <t>Persistent voice rooms + calls</t>
  </si>
  <si>
    <t>Persistent voice/video channels</t>
  </si>
  <si>
    <t>Persistent voice rooms</t>
  </si>
  <si>
    <t>Voice supported; Linux mic I/O issues reported</t>
  </si>
  <si>
    <t>Voice/video calls</t>
  </si>
  <si>
    <t>Voice channels</t>
  </si>
  <si>
    <t>Persistent spatial voice channels</t>
  </si>
  <si>
    <t>Voice nearly/partially working</t>
  </si>
  <si>
    <t>No mature native voice feature verified</t>
  </si>
  <si>
    <t>Live voice rooms</t>
  </si>
  <si>
    <t>Persistent server voice + messenger</t>
  </si>
  <si>
    <t>Yes — voice/communities</t>
  </si>
  <si>
    <t>Persistent calls/rooms</t>
  </si>
  <si>
    <t>Voice in every room</t>
  </si>
  <si>
    <t>Persistent guild voice channels + ad-hoc 1:1/group-DM calls</t>
  </si>
  <si>
    <t>Audio Codec</t>
  </si>
  <si>
    <t>Opus</t>
  </si>
  <si>
    <t>Opus/WebRTC via LiveKit</t>
  </si>
  <si>
    <t>WebRTC/LiveKit</t>
  </si>
  <si>
    <t>Opus commonly via WebRTC; protocol/client-dependent</t>
  </si>
  <si>
    <t>WebRTC; implementation-dependent codecs</t>
  </si>
  <si>
    <t>Opus / proprietary stack depending generation</t>
  </si>
  <si>
    <t>WebRTC/Opus</t>
  </si>
  <si>
    <t>WebRTC/integration-dependent</t>
  </si>
  <si>
    <t>Max Audio Bitrate (kbps)</t>
  </si>
  <si>
    <t>384 max (Level 3 boost); 96 base</t>
  </si>
  <si>
    <t>Varies by client/media stack</t>
  </si>
  <si>
    <t>192 kbps on Forge Shard; personal Rift+ high-fidelity 128 kbps</t>
  </si>
  <si>
    <t>128</t>
  </si>
  <si>
    <t>Noise Suppression Engine (Krisp / RNNoise / WebRTC)</t>
  </si>
  <si>
    <t>Krisp</t>
  </si>
  <si>
    <t>RNNoise</t>
  </si>
  <si>
    <t>DeepFilterNet3 local noise suppression planned/used</t>
  </si>
  <si>
    <t>DeepFilterNet3 + media processing controls</t>
  </si>
  <si>
    <t>Varies by client</t>
  </si>
  <si>
    <t>Built-in client processing; exact engine varies</t>
  </si>
  <si>
    <t>Built-in noise/echo processing</t>
  </si>
  <si>
    <t>Custom voice infrastructure</t>
  </si>
  <si>
    <t>LiveKit/WebRTC</t>
  </si>
  <si>
    <t>Custom WebRTC SFU</t>
  </si>
  <si>
    <t>Self-host media server</t>
  </si>
  <si>
    <t>WebRTC</t>
  </si>
  <si>
    <t>P2P WebRTC with STUN/TURN fallback</t>
  </si>
  <si>
    <t>Hosted/self-host media server</t>
  </si>
  <si>
    <t>LiveKit</t>
  </si>
  <si>
    <t>Desktop/mobile local suppression; no web suppression per developer report</t>
  </si>
  <si>
    <t>Push-to-Talk Support</t>
  </si>
  <si>
    <t>Individual User Volume Control</t>
  </si>
  <si>
    <t>Yes — developer-reported/LiveKit client controls</t>
  </si>
  <si>
    <t>Spatial / Proximity Audio Support</t>
  </si>
  <si>
    <t>No native client proximity/spatial audio; possible in third-party game integrations</t>
  </si>
  <si>
    <t>No native proximity audio</t>
  </si>
  <si>
    <t>Possible via specialized clients; not a core default</t>
  </si>
  <si>
    <t>No native proximity</t>
  </si>
  <si>
    <t>Yes — positional audio supported with games/plugins</t>
  </si>
  <si>
    <t>GameLink spatial audio</t>
  </si>
  <si>
    <t>Yes — spatial/proximity</t>
  </si>
  <si>
    <t>Stage Channels (Speaker vs Audience)</t>
  </si>
  <si>
    <t>No Discord-style Stage verified</t>
  </si>
  <si>
    <t>Nested voice / host-broadcasting planned</t>
  </si>
  <si>
    <t>No dedicated Stage verified</t>
  </si>
  <si>
    <t>No Discord Stage equivalent</t>
  </si>
  <si>
    <t>No Discord Stage equivalent verified</t>
  </si>
  <si>
    <t>Raise-hand supported in Calls</t>
  </si>
  <si>
    <t>No Stage verified</t>
  </si>
  <si>
    <t>No Stage</t>
  </si>
  <si>
    <t>Stage is a general room stage/media surface, not Discord Stage</t>
  </si>
  <si>
    <t>Raise Hand / Speaking Requests</t>
  </si>
  <si>
    <t>Stage exists; raise-hand/speaker-request behavior not independently documented</t>
  </si>
  <si>
    <t>Advanced Voice Controls</t>
  </si>
  <si>
    <t>DM Voice Calls?</t>
  </si>
  <si>
    <t>Group DM Voice Calls?</t>
  </si>
  <si>
    <t>Voice Activity?</t>
  </si>
  <si>
    <t>Echo Cancellation?</t>
  </si>
  <si>
    <t>Yes — desktop native graph; mobile uses native audio processing</t>
  </si>
  <si>
    <t>Automatic Gain Control?</t>
  </si>
  <si>
    <t>Not independently documented</t>
  </si>
  <si>
    <t>Voice Recording Native?</t>
  </si>
  <si>
    <t>No native recording</t>
  </si>
  <si>
    <t>Voice Transcription Native?</t>
  </si>
  <si>
    <t>No native transcription</t>
  </si>
  <si>
    <t>Temporary / Launcher Voice Rooms</t>
  </si>
  <si>
    <t>No native launcher</t>
  </si>
  <si>
    <t>Yes — auto-spawn/delete rooms</t>
  </si>
  <si>
    <t>No temporary/launcher voice-room workflow documented</t>
  </si>
  <si>
    <t>Voice Modes</t>
  </si>
  <si>
    <t>Persistent Voice Channels?</t>
  </si>
  <si>
    <t>Stage / Broadcast Voice?</t>
  </si>
  <si>
    <t>Speaker / Audience Roles?</t>
  </si>
  <si>
    <t>Raise Hand?</t>
  </si>
  <si>
    <t>Audio Quality</t>
  </si>
  <si>
    <t>Free / Base Voice Bitrate (kbps)</t>
  </si>
  <si>
    <t>96</t>
  </si>
  <si>
    <t>64</t>
  </si>
  <si>
    <t>24 / 48 / 96 / 128 kbps selectable Opus ceilings</t>
  </si>
  <si>
    <t>Paid / Boost Max Voice Bitrate (kbps)</t>
  </si>
  <si>
    <t>384</t>
  </si>
  <si>
    <t>256</t>
  </si>
  <si>
    <t>192</t>
  </si>
  <si>
    <t>Voice Bitrate User-Selectable?</t>
  </si>
  <si>
    <t>Yes / server-configurable</t>
  </si>
  <si>
    <t>Yes — audio-quality preset is user-selectable</t>
  </si>
  <si>
    <t>Controls</t>
  </si>
  <si>
    <t>Push-to-Talk?</t>
  </si>
  <si>
    <t>Per-User Volume?</t>
  </si>
  <si>
    <t>Input Gain Control?</t>
  </si>
  <si>
    <t>Processing</t>
  </si>
  <si>
    <t>Noise Suppression?</t>
  </si>
  <si>
    <t>Noise Suppression Engine</t>
  </si>
  <si>
    <t>Special Audio</t>
  </si>
  <si>
    <t>Spatial Audio?</t>
  </si>
  <si>
    <t>Proximity Audio?</t>
  </si>
  <si>
    <t>Voice Source URL</t>
  </si>
  <si>
    <t>https://support.discord.com/</t>
  </si>
  <si>
    <t>See Research Sources</t>
  </si>
  <si>
    <t>https://gamevox.com/</t>
  </si>
  <si>
    <t>https://therift.chat/plans/</t>
  </si>
  <si>
    <t>Voice Notes</t>
  </si>
  <si>
    <t>Voice/video/Go Live E2EE by default except Stage.</t>
  </si>
  <si>
    <t>Screen sharing/video rolled out in 2026; exact plan limits are not comprehensively documented.</t>
  </si>
  <si>
    <t>Alpha behavior/limits can change.</t>
  </si>
  <si>
    <t>Nothing is E2EE yet per Sep 13 privacy policy.</t>
  </si>
  <si>
    <t>Mobile can view shared screens.</t>
  </si>
  <si>
    <t>Media limits belong to a client/homeserver/SFU deployment, not to Matrix as a universal platform.</t>
  </si>
  <si>
    <t>Voice is optional and disabled unless operator installs a compatible media implementation.</t>
  </si>
  <si>
    <t>Purpose-built voice; no webcam/screen-sharing core.</t>
  </si>
  <si>
    <t>TS6 is beta, so limits/features are changing.</t>
  </si>
  <si>
    <t>Voice/video are intentionally delegated to services such as Jitsi/Zoom/BigBlueButton.</t>
  </si>
  <si>
    <t>Native Calls supports screen share and meeting-style controls.</t>
  </si>
  <si>
    <t>Media calling is not a single fixed platform profile across all Rocket.Chat deployments.</t>
  </si>
  <si>
    <t>Voice-first gaming platform.</t>
  </si>
  <si>
    <t>Public docs emphasize chat more than media limits.</t>
  </si>
  <si>
    <t>Custom voice infrastructure is a headline feature.</t>
  </si>
  <si>
    <t>Voice/video/screen share are live in open beta.</t>
  </si>
  <si>
    <t>Media details sparse.</t>
  </si>
  <si>
    <t>No paywall on voice/video quality claimed.</t>
  </si>
  <si>
    <t>Media limits not well documented.</t>
  </si>
  <si>
    <t>Self-host resource capacity determines practical limits.</t>
  </si>
  <si>
    <t>Media is early/incomplete.</t>
  </si>
  <si>
    <t>Text/community-gardening focus.</t>
  </si>
  <si>
    <t>Voice exists; detailed limits are not publicly documented.</t>
  </si>
  <si>
    <t>Media is peer-to-peer rather than server-room focused.</t>
  </si>
  <si>
    <t>Media limits are software/operator-configurable rather than a paid tier.</t>
  </si>
  <si>
    <t>Public site does not publish detailed media limits.</t>
  </si>
  <si>
    <t>Screen share with sound and multi-share are headline features.</t>
  </si>
  <si>
    <t>LiveKit-based voice/video/screen sharing.</t>
  </si>
  <si>
    <t>Designed around always-present game-room media.</t>
  </si>
  <si>
    <t>LiveKit; guild voice uses guild authority, DM calls use conversation/caller authority; existing calls may continue during federation outage but new joins need the authority</t>
  </si>
  <si>
    <t>Voice Experience Extras</t>
  </si>
  <si>
    <t>Voice Overlay?</t>
  </si>
  <si>
    <t>Temporary / Launcher Voice Rooms?</t>
  </si>
  <si>
    <t>Music / High-Fidelity Mode?</t>
  </si>
  <si>
    <t>Configurable/codecs</t>
  </si>
  <si>
    <t>Partial — browser 128 kbps Studio requests stereo/DTX-off; desktop remains processed mono</t>
  </si>
  <si>
    <t>Voice Changer Native?</t>
  </si>
  <si>
    <t>Free Screen Share Max Resolution</t>
  </si>
  <si>
    <t>720p</t>
  </si>
  <si>
    <t>720p Game Mode / Source mode</t>
  </si>
  <si>
    <t>Supported by recommended Pion voice implementation</t>
  </si>
  <si>
    <t>External call provider-dependent</t>
  </si>
  <si>
    <t>Provider/deployment dependent; native Calls screen share</t>
  </si>
  <si>
    <t>Provider/deployment-dependent</t>
  </si>
  <si>
    <t>Unlimited resolution claim</t>
  </si>
  <si>
    <t>P2P/client dependent</t>
  </si>
  <si>
    <t>Up to 4K theoretical/configurable</t>
  </si>
  <si>
    <t>1080p free</t>
  </si>
  <si>
    <t>Up to 1080p</t>
  </si>
  <si>
    <t>Free Screen Share Max FPS</t>
  </si>
  <si>
    <t>30 fps</t>
  </si>
  <si>
    <t>30 fps Game Mode / 5 fps Source mode</t>
  </si>
  <si>
    <t>Up to 60/120 depending docs/version</t>
  </si>
  <si>
    <t>60 FPS free</t>
  </si>
  <si>
    <t>30 FPS in current documented presets; developer questionnaire reported 60 FPS</t>
  </si>
  <si>
    <t>Paid / Boost Screen Share Max</t>
  </si>
  <si>
    <t>Up to 4K/60 fps with Nitro/Nitro Classic</t>
  </si>
  <si>
    <t>Up to 4K/60 with Plutonium</t>
  </si>
  <si>
    <t>Up to 1440p/60 with Sudo</t>
  </si>
  <si>
    <t>Varies by client/service</t>
  </si>
  <si>
    <t>Plan/deployment-dependent</t>
  </si>
  <si>
    <t>Up to 4K/60 Diamond</t>
  </si>
  <si>
    <t>No premium limit</t>
  </si>
  <si>
    <t>1440p60 with Rift+</t>
  </si>
  <si>
    <t>Free/unmetered</t>
  </si>
  <si>
    <t>No paid quality tier; documented presets are current/free</t>
  </si>
  <si>
    <t>Application Audio Capture</t>
  </si>
  <si>
    <t>Yes — Windows, macOS, Chrome, mobile; Linux audio sharing unavailable</t>
  </si>
  <si>
    <t>Yes / rollout in 2026</t>
  </si>
  <si>
    <t>Yes — screen sharing exists in alpha</t>
  </si>
  <si>
    <t>Yes — share stream audio</t>
  </si>
  <si>
    <t>Go Live supported by recommended Pion implementation</t>
  </si>
  <si>
    <t>Yes — screen share with audio</t>
  </si>
  <si>
    <t>Yes on supported desktop platforms; per-app capture documented for Windows/Linux</t>
  </si>
  <si>
    <t>Yes — with sound</t>
  </si>
  <si>
    <t>Browser: depends on browser/surface. Native desktop system-audio loopback is currently disabled. Android/iOS screen share excludes system audio.</t>
  </si>
  <si>
    <t>System Audio Capture</t>
  </si>
  <si>
    <t>Yes on supported desktop paths</t>
  </si>
  <si>
    <t>Yes on supported desktop</t>
  </si>
  <si>
    <t>Simultaneous Multi-Stream Viewing</t>
  </si>
  <si>
    <t>Yes — up to four shares</t>
  </si>
  <si>
    <t>Webcam Grid Limit</t>
  </si>
  <si>
    <t>25 participants in a server voice channel when video is active</t>
  </si>
  <si>
    <t>Up to plan/deployment limit</t>
  </si>
  <si>
    <t>25+ grid claimed</t>
  </si>
  <si>
    <t>100+ watch party demonstrated</t>
  </si>
  <si>
    <t>Stage Presentation Mode</t>
  </si>
  <si>
    <t>Yes — Stage supports video/screen share; 1 shared screen at a time</t>
  </si>
  <si>
    <t>No dedicated Stage mode verified</t>
  </si>
  <si>
    <t>Presentation via Calls</t>
  </si>
  <si>
    <t>Room stage supports media</t>
  </si>
  <si>
    <t>Yes — developer reports Stage channels; screen-share publication is separately permissioned</t>
  </si>
  <si>
    <t>Capture, Mobile &amp; Multi-Stream</t>
  </si>
  <si>
    <t>Application Audio Capture?</t>
  </si>
  <si>
    <t>System Audio Capture?</t>
  </si>
  <si>
    <t>Yes on supported platforms</t>
  </si>
  <si>
    <t>Linux Screen Audio?</t>
  </si>
  <si>
    <t>Linux audio-share limitations</t>
  </si>
  <si>
    <t>Depends desktop/Linux support</t>
  </si>
  <si>
    <t>Linux mic I/O known rough edge</t>
  </si>
  <si>
    <t>Linux supported</t>
  </si>
  <si>
    <t>No — current native desktop common mixer contract is not enabled; browser may provide surface audio</t>
  </si>
  <si>
    <t>Mobile Screen Share?</t>
  </si>
  <si>
    <t>Mobile screen share supported</t>
  </si>
  <si>
    <t>No sharing from mobile</t>
  </si>
  <si>
    <t>Mobile behavior varies</t>
  </si>
  <si>
    <t>Yes — Android MediaProjection and iOS ReplayKit paths documented</t>
  </si>
  <si>
    <t>Multiple Concurrent Screen Shares?</t>
  </si>
  <si>
    <t>Client/provider-dependent</t>
  </si>
  <si>
    <t>Implementation-dependent</t>
  </si>
  <si>
    <t>Plan-dependent</t>
  </si>
  <si>
    <t>P2P</t>
  </si>
  <si>
    <t>Simultaneous Multi-Stream Viewing?</t>
  </si>
  <si>
    <t>Yes — 100+ watch party</t>
  </si>
  <si>
    <t>Stage / Presentation Mode?</t>
  </si>
  <si>
    <t>Core Availability</t>
  </si>
  <si>
    <t>Webcam Video Available?</t>
  </si>
  <si>
    <t>Yes — video calls documented</t>
  </si>
  <si>
    <t>Screen Share Available?</t>
  </si>
  <si>
    <t>Yes/rollout</t>
  </si>
  <si>
    <t>Yes with Pion implementation</t>
  </si>
  <si>
    <t>Yes — TS6 beta / P2P</t>
  </si>
  <si>
    <t>External provider</t>
  </si>
  <si>
    <t>Camera in DMs</t>
  </si>
  <si>
    <t>Screen Share Available on Free Plan?</t>
  </si>
  <si>
    <t>Yes with TS6 client/self-host context; exact hosting limits vary</t>
  </si>
  <si>
    <t>Resolution Entitlements</t>
  </si>
  <si>
    <t>480p Available?</t>
  </si>
  <si>
    <t>480p Access (Free / Paid / Configurable)</t>
  </si>
  <si>
    <t>Free/configurable</t>
  </si>
  <si>
    <t>720p Available?</t>
  </si>
  <si>
    <t>720p Access (Free / Paid / Configurable)</t>
  </si>
  <si>
    <t>Free + Sudo selectable</t>
  </si>
  <si>
    <t>720p Max FPS</t>
  </si>
  <si>
    <t>30</t>
  </si>
  <si>
    <t>60</t>
  </si>
  <si>
    <t>1080p Available?</t>
  </si>
  <si>
    <t>1080p Access (Free / Paid / Configurable)</t>
  </si>
  <si>
    <t>1080p Max FPS</t>
  </si>
  <si>
    <t>60 observed/configurable</t>
  </si>
  <si>
    <t>1440p Available?</t>
  </si>
  <si>
    <t>Yes (within paid max)</t>
  </si>
  <si>
    <t>1440p Access (Free / Paid / Configurable)</t>
  </si>
  <si>
    <t>1440p Max FPS</t>
  </si>
  <si>
    <t>4K Available?</t>
  </si>
  <si>
    <t>No documented</t>
  </si>
  <si>
    <t>4K Access (Free / Paid / Configurable)</t>
  </si>
  <si>
    <t>4K Max FPS</t>
  </si>
  <si>
    <t>Frame Rate Entitlements</t>
  </si>
  <si>
    <t>30 FPS Available?</t>
  </si>
  <si>
    <t>30 FPS Access</t>
  </si>
  <si>
    <t>Free / paid selectable</t>
  </si>
  <si>
    <t>60 FPS Available?</t>
  </si>
  <si>
    <t>No in the current documented quality presets; developer questionnaire reported 4K60</t>
  </si>
  <si>
    <t>60 FPS Access</t>
  </si>
  <si>
    <t>Gold+ / Diamond</t>
  </si>
  <si>
    <t>Free at 720p; paid for higher resolution</t>
  </si>
  <si>
    <t>Developer-reported 4K60 claim; public docs currently document 30 FPS presets</t>
  </si>
  <si>
    <t>120 FPS Available?</t>
  </si>
  <si>
    <t>No documented 120 FPS mode</t>
  </si>
  <si>
    <t>120 FPS Access</t>
  </si>
  <si>
    <t>Maximums</t>
  </si>
  <si>
    <t>Free Max Resolution</t>
  </si>
  <si>
    <t>720p game / Source text mode</t>
  </si>
  <si>
    <t>Deployment/plan dependent</t>
  </si>
  <si>
    <t>Up to 4K</t>
  </si>
  <si>
    <t>Free Max FPS</t>
  </si>
  <si>
    <t>30 game / 5 source</t>
  </si>
  <si>
    <t>Up to 60/120 by version/config</t>
  </si>
  <si>
    <t>Absolute Max Resolution</t>
  </si>
  <si>
    <t>4K</t>
  </si>
  <si>
    <t>1440p</t>
  </si>
  <si>
    <t>1080p verified</t>
  </si>
  <si>
    <t>Absolute Max FPS</t>
  </si>
  <si>
    <t>Paid Tier Needed for Absolute Max</t>
  </si>
  <si>
    <t>Nitro</t>
  </si>
  <si>
    <t>Diamond</t>
  </si>
  <si>
    <t>Shard Forge</t>
  </si>
  <si>
    <t>None for core voice/video/screen share</t>
  </si>
  <si>
    <t>No paid tier</t>
  </si>
  <si>
    <t>Capture &amp; Viewing</t>
  </si>
  <si>
    <t>Max Concurrent Screen Shares</t>
  </si>
  <si>
    <t>Screen Share Source URL</t>
  </si>
  <si>
    <t>https://support.discord.com/hc/en-us/articles/360040816151-Go-Live-and-Screen-Share</t>
  </si>
  <si>
    <t>https://support.rootapp.com/docs/sudo/get-started/sudo-faqs/</t>
  </si>
  <si>
    <t>https://community.teamspeak.com/t/teamspeak-6-0-0-beta1-screen-camera-sharing-communities-design-overhaul/54925</t>
  </si>
  <si>
    <t>https://pqp.gg/</t>
  </si>
  <si>
    <t>https://weered.ca/alternatives/discord</t>
  </si>
  <si>
    <t>https://github.com/CookieNom/KaedeChat/blob/main/docs/screen-sharing-quality.md</t>
  </si>
  <si>
    <t>Screen Share Notes</t>
  </si>
  <si>
    <t>TS6 screen sharing is still evolving; server-side streaming has lagged behind P2P. No stable official resolution-tier table was found.</t>
  </si>
  <si>
    <t>Rift's current pricing page lists 720p free, 1080p Ember/Rift+, 1440p Forge. Some comparison copy elsewhere has differed; pricing page used as authority.</t>
  </si>
  <si>
    <t>Current public docs: 720p15/30, 1080p30, Source up to 4K native at 30 FPS; audio-capture behavior varies by platform. Developer questionnaire separately reported 4K60 + audio capture.</t>
  </si>
  <si>
    <t>Delivery &amp; Experience</t>
  </si>
  <si>
    <t>Picture-in-Picture / Pop-Out Viewing?</t>
  </si>
  <si>
    <t>Yes — mobile and desktop PiP/pop-out behavior documented</t>
  </si>
  <si>
    <t>Adaptive Quality / Congestion Control?</t>
  </si>
  <si>
    <t>Yes — WebRTC may reduce resolution/frame rate under congestion</t>
  </si>
  <si>
    <t>Hardware-Accelerated Encoding?</t>
  </si>
  <si>
    <t>Client/platform dependent</t>
  </si>
  <si>
    <t>Not explicitly documented</t>
  </si>
  <si>
    <t>Synchronized Watch Party?</t>
  </si>
  <si>
    <t>Via Activities</t>
  </si>
  <si>
    <t>Yes — YouTube/Twitch Portal Watch Party</t>
  </si>
  <si>
    <t>No synchronized watch-party feature documented</t>
  </si>
  <si>
    <t>Yes when voice component enabled</t>
  </si>
  <si>
    <t>Not Discord-style always-on; Calls in channels/DMs</t>
  </si>
  <si>
    <t>Not universally Discord-style</t>
  </si>
  <si>
    <t>No verified</t>
  </si>
  <si>
    <t>No persistent voice-room model verified</t>
  </si>
  <si>
    <t>Yes — voice in rooms</t>
  </si>
  <si>
    <t>DM Calls</t>
  </si>
  <si>
    <t>No persistent DM call model</t>
  </si>
  <si>
    <t>Provider/deployment dependent</t>
  </si>
  <si>
    <t>Yes calls</t>
  </si>
  <si>
    <t>Group Calls</t>
  </si>
  <si>
    <t>No group call model separate from channels</t>
  </si>
  <si>
    <t>Media Backend / SFU</t>
  </si>
  <si>
    <t>Discord media infrastructure / DAVE</t>
  </si>
  <si>
    <t>LiveKit + Fluxer media stack</t>
  </si>
  <si>
    <t>MatrixRTC + deployment SFU(s), or legacy/provider integrations</t>
  </si>
  <si>
    <t>Optional Pion/Medooze/Mediasoup WebRTC implementations</t>
  </si>
  <si>
    <t>Mumble server mixes/routes voice</t>
  </si>
  <si>
    <t>TeamSpeak media server</t>
  </si>
  <si>
    <t>External integration/provider</t>
  </si>
  <si>
    <t>Mattermost Calls WebRTC/SFU</t>
  </si>
  <si>
    <t>Deployment/integration dependent</t>
  </si>
  <si>
    <t>GameVox media stack</t>
  </si>
  <si>
    <t>Custom media infrastructure</t>
  </si>
  <si>
    <t>Self-host media</t>
  </si>
  <si>
    <t>P2P WebRTC + TURN fallback</t>
  </si>
  <si>
    <t>Hosted/self-host media</t>
  </si>
  <si>
    <t>Opus/WebRTC</t>
  </si>
  <si>
    <t>Opus/WebRTC typical</t>
  </si>
  <si>
    <t>Opus/proprietary stack</t>
  </si>
  <si>
    <t>WebRTC/provider</t>
  </si>
  <si>
    <t>Free / Base Audio Bitrate</t>
  </si>
  <si>
    <t>96 kbps base server voice</t>
  </si>
  <si>
    <t>Server configured</t>
  </si>
  <si>
    <t>96 kbps</t>
  </si>
  <si>
    <t>Maximum Audio Bitrate</t>
  </si>
  <si>
    <t>384 kbps boosted</t>
  </si>
  <si>
    <t>Configurable up to very high</t>
  </si>
  <si>
    <t>192 kbps (Forge Shard)</t>
  </si>
  <si>
    <t>128 kbps</t>
  </si>
  <si>
    <t>Push-to-Talk</t>
  </si>
  <si>
    <t>Per-User Volume</t>
  </si>
  <si>
    <t>Noise Suppression</t>
  </si>
  <si>
    <t>DeepFilterNet3/local processing</t>
  </si>
  <si>
    <t>DeepFilterNet3</t>
  </si>
  <si>
    <t>Built-in processing</t>
  </si>
  <si>
    <t>Built-in</t>
  </si>
  <si>
    <t>WebRTC processing</t>
  </si>
  <si>
    <t>Noise suppression</t>
  </si>
  <si>
    <t>Noise/echo cancellation</t>
  </si>
  <si>
    <t>Echo cancellation/noise suppression/auto gain</t>
  </si>
  <si>
    <t>Yes — desktop/mobile; web suppression unavailable per developer report</t>
  </si>
  <si>
    <t>Spatial / Proximity Audio</t>
  </si>
  <si>
    <t>Yes — positional audio</t>
  </si>
  <si>
    <t>3D/positional support historically</t>
  </si>
  <si>
    <t>Stage / Broadcast Mode</t>
  </si>
  <si>
    <t>Yes — Stage</t>
  </si>
  <si>
    <t>Nested voice/host-broadcasting direction</t>
  </si>
  <si>
    <t>No dedicated stage</t>
  </si>
  <si>
    <t>No Discord stage equivalent</t>
  </si>
  <si>
    <t>Call presentation</t>
  </si>
  <si>
    <t>Stage/channel model</t>
  </si>
  <si>
    <t>No dedicated Stage; announcements + permissions / voice launchers</t>
  </si>
  <si>
    <t>Room stage/media surface</t>
  </si>
  <si>
    <t>Developer-reported Stage channels</t>
  </si>
  <si>
    <t>Raise Hand / Speaker Requests</t>
  </si>
  <si>
    <t>Webcam Video</t>
  </si>
  <si>
    <t>Screen Sharing</t>
  </si>
  <si>
    <t>Yes — Go Live with Pion</t>
  </si>
  <si>
    <t>Yes — TS6</t>
  </si>
  <si>
    <t>Yes — screen share advertised</t>
  </si>
  <si>
    <t>Free Screen Share Resolution</t>
  </si>
  <si>
    <t>Unlimited-resolution claim</t>
  </si>
  <si>
    <t>Free Screen Share FPS</t>
  </si>
  <si>
    <t>Up to 4K/60</t>
  </si>
  <si>
    <t>4K/60 Plutonium</t>
  </si>
  <si>
    <t>1440p/60 Sudo</t>
  </si>
  <si>
    <t>4K/60 Diamond</t>
  </si>
  <si>
    <t>No paid cap claimed</t>
  </si>
  <si>
    <t>1440p included</t>
  </si>
  <si>
    <t>Free/unmetered claim</t>
  </si>
  <si>
    <t>Linux Screen Audio</t>
  </si>
  <si>
    <t>Mobile Screen Share</t>
  </si>
  <si>
    <t>Yes — mobile calls/screen documented</t>
  </si>
  <si>
    <t>Multiple Concurrent Screen Shares</t>
  </si>
  <si>
    <t>4 concurrent shares</t>
  </si>
  <si>
    <t>Multi-Stream Viewing</t>
  </si>
  <si>
    <t>Media Notes</t>
  </si>
  <si>
    <t>Advanced Media Experience</t>
  </si>
  <si>
    <t>Voice Room Launcher / Auto-Delete Rooms</t>
  </si>
  <si>
    <t>No launcher/auto-delete voice-room model documented</t>
  </si>
  <si>
    <t>Watch Party / Synchronized Co-Watching</t>
  </si>
  <si>
    <t>Yes — YouTube/Twitch Watch Party</t>
  </si>
  <si>
    <t>No watch-party system documented</t>
  </si>
  <si>
    <t>High-Fidelity / Music Mode</t>
  </si>
  <si>
    <t>Codec/settings dependent</t>
  </si>
  <si>
    <t>Partial — browser 128 kbps Studio; desktop uses processed mono voice graph</t>
  </si>
  <si>
    <t>Uploads</t>
  </si>
  <si>
    <t>File Uploads Supported?</t>
  </si>
  <si>
    <t>Free Max File Upload (MB)</t>
  </si>
  <si>
    <t>15</t>
  </si>
  <si>
    <t>Paid Max File Upload (MB)</t>
  </si>
  <si>
    <t>10240</t>
  </si>
  <si>
    <t>N/A — no paid tier</t>
  </si>
  <si>
    <t>200 personal / 100 community-member cap</t>
  </si>
  <si>
    <t>No paid upload tier; self-host quotas are configurable</t>
  </si>
  <si>
    <t>Absolute Max File Upload (MB)</t>
  </si>
  <si>
    <t>25 verified</t>
  </si>
  <si>
    <t>100 verified</t>
  </si>
  <si>
    <t>Configurable by self-host operator; official instance developer-reported limit is 15 MB</t>
  </si>
  <si>
    <t>Max Files Per Message</t>
  </si>
  <si>
    <t>Image Upload Max (MB)</t>
  </si>
  <si>
    <t>Video Upload Max (MB)</t>
  </si>
  <si>
    <t>Other File Upload Max (MB)</t>
  </si>
  <si>
    <t>Soundboard Clip Max (MB)</t>
  </si>
  <si>
    <t>Storage</t>
  </si>
  <si>
    <t>Free Total Storage</t>
  </si>
  <si>
    <t>5 GB total (Zulip Cloud Free)</t>
  </si>
  <si>
    <t>2 GB per Standard server</t>
  </si>
  <si>
    <t>Paid Total Storage</t>
  </si>
  <si>
    <t>5 GB/user Standard; 25 GB/user Plus</t>
  </si>
  <si>
    <t>Up to 200 GB / tier-dependent</t>
  </si>
  <si>
    <t>Per-User Storage Quota</t>
  </si>
  <si>
    <t>5 GB Standard / 25 GB Plus</t>
  </si>
  <si>
    <t>Per-Community Storage Quota</t>
  </si>
  <si>
    <t>Storage Quota Self-Host Configurable?</t>
  </si>
  <si>
    <t>History &amp; Retention</t>
  </si>
  <si>
    <t>Free Message History Limit</t>
  </si>
  <si>
    <t>10,000 messages searchable</t>
  </si>
  <si>
    <t>Unlimited message-search depth per developer report; plaintext history/search is not artificially depth-limited</t>
  </si>
  <si>
    <t>Paid Message History Limit</t>
  </si>
  <si>
    <t>Unlimited search history</t>
  </si>
  <si>
    <t>Attachment Retention</t>
  </si>
  <si>
    <t>Retained until user deletes/requests deletion on official instance per developer report; operators can configure retention/purge behavior</t>
  </si>
  <si>
    <t>Deleted Attachment Retention</t>
  </si>
  <si>
    <t>Deletion/purge jobs are documented; no fixed public deleted-attachment retention interval found</t>
  </si>
  <si>
    <t>Media Handling</t>
  </si>
  <si>
    <t>CDN / Media Proxy?</t>
  </si>
  <si>
    <t>Yes / CDN</t>
  </si>
  <si>
    <t>Yes — media proxy</t>
  </si>
  <si>
    <t>Private S3-compatible media via short-lived presigned URLs; Garage default, external S3 supported</t>
  </si>
  <si>
    <t>EXIF Scrubbing?</t>
  </si>
  <si>
    <t>Client/server-dependent</t>
  </si>
  <si>
    <t>Yes — automatic EXIF stripping</t>
  </si>
  <si>
    <t>Attachment Export?</t>
  </si>
  <si>
    <t>ZIP / JSON-heavy Data Package</t>
  </si>
  <si>
    <t>Zulip export archives</t>
  </si>
  <si>
    <t>Bulk/export formats</t>
  </si>
  <si>
    <t>Export/backup deployment-dependent</t>
  </si>
  <si>
    <t>ATProto records</t>
  </si>
  <si>
    <t>Nostr events</t>
  </si>
  <si>
    <t>Encrypted .hollow/local formats</t>
  </si>
  <si>
    <t>DCTS export</t>
  </si>
  <si>
    <t>Direct downloads supported; no bulk attachment/account export workflow documented</t>
  </si>
  <si>
    <t>Inline Preview?</t>
  </si>
  <si>
    <t>Yes — clean image/video derivatives and previews are produced after scan</t>
  </si>
  <si>
    <t>File / Storage Source URL</t>
  </si>
  <si>
    <t>https://support.discord.com/hc/en-us/articles/25444343291031-File-Attachments-FAQ</t>
  </si>
  <si>
    <t>https://support.rootapp.com/docs/leader/channel-files/overview/</t>
  </si>
  <si>
    <t>https://zulip.com/plans/</t>
  </si>
  <si>
    <t>https://github.com/CookieNom/KaedeChat/blob/main/docs/architecture.md</t>
  </si>
  <si>
    <t>File / Storage Notes</t>
  </si>
  <si>
    <t>20 MB free; 50 MB Nitro Basic; 500 MB Nitro.</t>
  </si>
  <si>
    <t>25 MB free; 500 MB with Plutonium.</t>
  </si>
  <si>
    <t>Root docs verify 25 MB max and 10 files/upload; no higher paid file cap verified.</t>
  </si>
  <si>
    <t>A 5 MB attachment limit is widely documented in current comparisons; official primary limit was not re-verified in this pass.</t>
  </si>
  <si>
    <t>500 MB free; Silver 1 GB/file; Gold 2 GB/file; Diamond 10 GB/file.</t>
  </si>
  <si>
    <t>All features free; images max 50 MB, video/other max 100 MB.</t>
  </si>
  <si>
    <t>Free 50 MB; Rift+ 200 MB; Ember 75 MB/member; Forge 100 MB/member.</t>
  </si>
  <si>
    <t>Three private buckets; exact-length upload tickets; magic validation; ClamAV scanning; safe WebP/video derivatives; remote media is origin-authenticated and re-scanned before local cache.</t>
  </si>
  <si>
    <t>File Security &amp; Management</t>
  </si>
  <si>
    <t>Malware / Virus Scanning?</t>
  </si>
  <si>
    <t>Yes — magic validation + ClamAV malware scan before originals become available</t>
  </si>
  <si>
    <t>File Type Restrictions Configurable?</t>
  </si>
  <si>
    <t>Platform-controlled</t>
  </si>
  <si>
    <t>Admin/deployment dependent</t>
  </si>
  <si>
    <t>MIME/type validation is enforced; operator-configurable restriction policy was not separately documented</t>
  </si>
  <si>
    <t>Per-Channel Retention Policy?</t>
  </si>
  <si>
    <t>No general native retention timer</t>
  </si>
  <si>
    <t>Enterprise/deployment dependent</t>
  </si>
  <si>
    <t>Deployment/settings dependent</t>
  </si>
  <si>
    <t>Yes — disappearing messages per channel</t>
  </si>
  <si>
    <t>Object Storage Backend Self-Host Configurable?</t>
  </si>
  <si>
    <t>Yes / recommended</t>
  </si>
  <si>
    <t>Yes — Garage or external S3-compatible storage</t>
  </si>
  <si>
    <t>Platform / Protocol Identity</t>
  </si>
  <si>
    <t>Stoat (formerly Revolt)</t>
  </si>
  <si>
    <t>Federated self-hosted Discord-style chat platform</t>
  </si>
  <si>
    <t>Examples of Other Clients</t>
  </si>
  <si>
    <t>Third-party clients generally not supported</t>
  </si>
  <si>
    <t>Community clients exist</t>
  </si>
  <si>
    <t>No established third-party client ecosystem</t>
  </si>
  <si>
    <t>No mature third-party client ecosystem verified</t>
  </si>
  <si>
    <t>No third-party client ecosystem</t>
  </si>
  <si>
    <t>Cinny, FluffyChat, Nheko, Fractal, Commet and many others</t>
  </si>
  <si>
    <t>Potential compatible/community clients</t>
  </si>
  <si>
    <t>Third-party mobile clients</t>
  </si>
  <si>
    <t>Third-party client support limited by proprietary ecosystem</t>
  </si>
  <si>
    <t>API clients/bots; not interchangeable end-user clients in Matrix sense</t>
  </si>
  <si>
    <t>Custom clients/integrations possible; not interchangeable protocol clients</t>
  </si>
  <si>
    <t>API/custom clients possible</t>
  </si>
  <si>
    <t>No interchangeable third-party client ecosystem verified</t>
  </si>
  <si>
    <t>Forks/custom clients possible via open API/code</t>
  </si>
  <si>
    <t>No interchangeable client ecosystem verified</t>
  </si>
  <si>
    <t>No third-party clients verified</t>
  </si>
  <si>
    <t>Anyone can build clients against Harmony API</t>
  </si>
  <si>
    <t>Other Nostr clients do not automatically implement Armada/Concord semantics</t>
  </si>
  <si>
    <t>Open source allows custom clients</t>
  </si>
  <si>
    <t>Open source but no third-party client protocol ecosystem verified</t>
  </si>
  <si>
    <t>Open API; independent clients possible</t>
  </si>
  <si>
    <t>Account / Identity Hosted By</t>
  </si>
  <si>
    <t>Hosted Stoat or self-host operator</t>
  </si>
  <si>
    <t>Fluxer hosted or self-host operator</t>
  </si>
  <si>
    <t>Chosen Matrix homeserver/provider</t>
  </si>
  <si>
    <t>Each Spacebar instance operator</t>
  </si>
  <si>
    <t>Chosen Mumble server</t>
  </si>
  <si>
    <t>Chosen TeamSpeak server / provider</t>
  </si>
  <si>
    <t>Zulip Cloud or chosen self-host server</t>
  </si>
  <si>
    <t>Mattermost Cloud or chosen self-host server</t>
  </si>
  <si>
    <t>Rocket.Chat Cloud or chosen server</t>
  </si>
  <si>
    <t>GameVox account / self-host server</t>
  </si>
  <si>
    <t>Nerimity hosted service</t>
  </si>
  <si>
    <t>Venta identity intended to span federated servers</t>
  </si>
  <si>
    <t>Mezon account</t>
  </si>
  <si>
    <t>Yapper account/license + chosen server</t>
  </si>
  <si>
    <t>Per-instance</t>
  </si>
  <si>
    <t>Bluesky/ATProto identity</t>
  </si>
  <si>
    <t>Nostr keypair</t>
  </si>
  <si>
    <t>User Ed25519 keypair</t>
  </si>
  <si>
    <t>Chosen DCTS instance or key-based messenger</t>
  </si>
  <si>
    <t>pqp account/self-host deployment</t>
  </si>
  <si>
    <t>Valour account</t>
  </si>
  <si>
    <t>Chosen home instance; identity is username@domain</t>
  </si>
  <si>
    <t>Server / Homeserver Implementation(s)</t>
  </si>
  <si>
    <t>Discord proprietary backend</t>
  </si>
  <si>
    <t>Stoat Rust backend</t>
  </si>
  <si>
    <t>Private hosted backend</t>
  </si>
  <si>
    <t>Fluxer open-source backend/services</t>
  </si>
  <si>
    <t>Root proprietary cloud backend</t>
  </si>
  <si>
    <t>Synapse, Dendrite/other Matrix homeservers</t>
  </si>
  <si>
    <t>Spacebar API/Gateway/CDN services</t>
  </si>
  <si>
    <t>Murmur/Mumble server</t>
  </si>
  <si>
    <t>Proprietary TeamSpeak server</t>
  </si>
  <si>
    <t>Zulip server/web application</t>
  </si>
  <si>
    <t>Mattermost server</t>
  </si>
  <si>
    <t>Rocket.Chat server</t>
  </si>
  <si>
    <t>Proprietary GameVox server</t>
  </si>
  <si>
    <t>Nerimity server</t>
  </si>
  <si>
    <t>Proprietary/partly open backend components</t>
  </si>
  <si>
    <t>Loqa backend</t>
  </si>
  <si>
    <t>AlpineBackend</t>
  </si>
  <si>
    <t>Mezon native backend</t>
  </si>
  <si>
    <t>Proprietary backend</t>
  </si>
  <si>
    <t>Yapper server software</t>
  </si>
  <si>
    <t>Harmony server</t>
  </si>
  <si>
    <t>ATProto/PDS + Roomy services</t>
  </si>
  <si>
    <t>Nostr relays / Concord</t>
  </si>
  <si>
    <t>Stateless/ephemeral relay servers</t>
  </si>
  <si>
    <t>DCTS server</t>
  </si>
  <si>
    <t>Rift proprietary backend</t>
  </si>
  <si>
    <t>pqp server</t>
  </si>
  <si>
    <t>Private Rust backend</t>
  </si>
  <si>
    <t>Valour node-based backend</t>
  </si>
  <si>
    <t>Private/source-available backend</t>
  </si>
  <si>
    <t>Kaede Chat server (FastAPI + PostgreSQL + Dragonfly + S3-compatible storage + LiveKit)</t>
  </si>
  <si>
    <t>First-Party Hosted Service</t>
  </si>
  <si>
    <t>Yes — discord.com</t>
  </si>
  <si>
    <t>matrix.org is one Foundation-operated homeserver; many other providers exist</t>
  </si>
  <si>
    <t>No canonical global first-party hosted network required</t>
  </si>
  <si>
    <t>No central service</t>
  </si>
  <si>
    <t>Hosted options exist; many self-host</t>
  </si>
  <si>
    <t>Yes — Zulip Cloud</t>
  </si>
  <si>
    <t>Yes — cloud offering</t>
  </si>
  <si>
    <t>Optional managed hosting</t>
  </si>
  <si>
    <t>fermi.chat hosted instance</t>
  </si>
  <si>
    <t>roomy.space</t>
  </si>
  <si>
    <t>No central host required</t>
  </si>
  <si>
    <t>Official relay exists</t>
  </si>
  <si>
    <t>Official public instance exists, but project is self-hosting-first</t>
  </si>
  <si>
    <t>Yes — São Paulo</t>
  </si>
  <si>
    <t>Yes — kaede.chat</t>
  </si>
  <si>
    <t>Independent Instances</t>
  </si>
  <si>
    <t>Possible independent deployments</t>
  </si>
  <si>
    <t>Yes/distributed data ownership model</t>
  </si>
  <si>
    <t>Cross-Instance Rooms / Communities</t>
  </si>
  <si>
    <t>Not yet</t>
  </si>
  <si>
    <t>Yes — rooms can span homeservers</t>
  </si>
  <si>
    <t>Yes for supported federated rooms</t>
  </si>
  <si>
    <t>Federated communities intended</t>
  </si>
  <si>
    <t>Planned</t>
  </si>
  <si>
    <t>ATProto-linked spaces</t>
  </si>
  <si>
    <t>Communities can use multiple relays</t>
  </si>
  <si>
    <t>Peers communicate across relays/home servers as designed</t>
  </si>
  <si>
    <t>Cross-server messenger works</t>
  </si>
  <si>
    <t>Limited/evolving</t>
  </si>
  <si>
    <t>Yes — users on one home can join guilds, DM and call users/resources on other homes</t>
  </si>
  <si>
    <t>Cross-Instance Identity / Account Portability</t>
  </si>
  <si>
    <t>No seamless portable identity</t>
  </si>
  <si>
    <t>No current portable cross-instance identity</t>
  </si>
  <si>
    <t>Identity is namespaced to a homeserver; clients are portable, account migration is not universally seamless</t>
  </si>
  <si>
    <t>Certificate/user identity can be reused manually; no global portable identity layer</t>
  </si>
  <si>
    <t>No global federated identity</t>
  </si>
  <si>
    <t>No seamless cross-server identity</t>
  </si>
  <si>
    <t>Limited; not equivalent to universal account migration</t>
  </si>
  <si>
    <t>Identity via ATProto</t>
  </si>
  <si>
    <t>Identity is portable by keypair</t>
  </si>
  <si>
    <t>Yes — identity key portable</t>
  </si>
  <si>
    <t>Yes — messenger global ID/key and account export</t>
  </si>
  <si>
    <t>Account survives community node moves per docs</t>
  </si>
  <si>
    <t>Federated identity works across instances; moving an account's home is not documented</t>
  </si>
  <si>
    <t>Discord API Compatibility</t>
  </si>
  <si>
    <t>Partial Discord wire/API compatibility goals</t>
  </si>
  <si>
    <t>Yes — major design goal</t>
  </si>
  <si>
    <t>Yes — Discord-like bot compatibility</t>
  </si>
  <si>
    <t>Governance / Stewardship</t>
  </si>
  <si>
    <t>Discord Inc.</t>
  </si>
  <si>
    <t>Stoat open-source project/team</t>
  </si>
  <si>
    <t>Fenrid LLC / founder-led</t>
  </si>
  <si>
    <t>Fluxer Platform AB + OSS contributors</t>
  </si>
  <si>
    <t>Root Communications, Inc.</t>
  </si>
  <si>
    <t>Matrix.org Foundation + independent ecosystem</t>
  </si>
  <si>
    <t>Volunteer Spacebar project</t>
  </si>
  <si>
    <t>Mumble open-source community</t>
  </si>
  <si>
    <t>TeamSpeak commercial company</t>
  </si>
  <si>
    <t>Kandra Labs / Zulip community</t>
  </si>
  <si>
    <t>Mattermost, Inc. + community</t>
  </si>
  <si>
    <t>Rocket.Chat company + community</t>
  </si>
  <si>
    <t>LightSpeed Gaming LLC</t>
  </si>
  <si>
    <t>Nerimity maintainer/community</t>
  </si>
  <si>
    <t>Osmium team/company</t>
  </si>
  <si>
    <t>Loqa project/team</t>
  </si>
  <si>
    <t>AlpineBits/Venta team</t>
  </si>
  <si>
    <t>Mezon team/company</t>
  </si>
  <si>
    <t>Kloak team</t>
  </si>
  <si>
    <t>Yapper team (Portugal)</t>
  </si>
  <si>
    <t>MelodyChat community</t>
  </si>
  <si>
    <t>Muni Town / open-source contributors</t>
  </si>
  <si>
    <t>Soapbox/Armada contributors</t>
  </si>
  <si>
    <t>DCTS project/maintainer</t>
  </si>
  <si>
    <t>Rift Communications LLC</t>
  </si>
  <si>
    <t>pqp project</t>
  </si>
  <si>
    <t>Small Canadian team</t>
  </si>
  <si>
    <t>Valour Software LLC/volunteers</t>
  </si>
  <si>
    <t>Solo maintainer; public MIT repository</t>
  </si>
  <si>
    <t>Operational Ecosystem</t>
  </si>
  <si>
    <t>One account on one home can access federated guilds/DMs across other instances</t>
  </si>
  <si>
    <t>Central Account Required for Hosted Service</t>
  </si>
  <si>
    <t>Hosted account or self-host operator</t>
  </si>
  <si>
    <t>Provider/homeserver account</t>
  </si>
  <si>
    <t>No central Kaede-wide account; an account on a chosen home is required</t>
  </si>
  <si>
    <t>Custom Domain / Branded Deployment</t>
  </si>
  <si>
    <t>Yes — self-hosted</t>
  </si>
  <si>
    <t>Yes — self-managed</t>
  </si>
  <si>
    <t>No public self-hosting</t>
  </si>
  <si>
    <t>Yes — self-host on a custom domain; handles are username@domain</t>
  </si>
  <si>
    <t>Cross-Platform Bridge Ecosystem</t>
  </si>
  <si>
    <t>Third-party</t>
  </si>
  <si>
    <t>Extensive bridge ecosystem</t>
  </si>
  <si>
    <t>IRC/Jabber mirrors/integrations</t>
  </si>
  <si>
    <t>Integrations/plugins</t>
  </si>
  <si>
    <t>Yes — official Discord↔Kaede bridge bot; broader bridge ecosystem is still early</t>
  </si>
  <si>
    <t>Hosting Architecture (Centralized / Federated / Self-Hosted / P2P)</t>
  </si>
  <si>
    <t>Federation / Network Protocol</t>
  </si>
  <si>
    <t>No federation; centralized proprietary service (public HTTP/Gateway APIs for apps)</t>
  </si>
  <si>
    <t>No inter-instance federation; custom REST/WebSocket API</t>
  </si>
  <si>
    <t>No federation; custom platform APIs</t>
  </si>
  <si>
    <t>No federation yet; federation on roadmap; Discord-inspired REST/Gateway</t>
  </si>
  <si>
    <t>No federation; proprietary Root APIs</t>
  </si>
  <si>
    <t>Matrix Client-Server API + Server-Server/Federation API; MatrixRTC for realtime calling</t>
  </si>
  <si>
    <t>Discord-compatible REST API + Gateway/WebSocket; no federation</t>
  </si>
  <si>
    <t>Mumble protocol over TLS/UDP; no federation</t>
  </si>
  <si>
    <t>Proprietary TeamSpeak protocol; no federation</t>
  </si>
  <si>
    <t>Zulip REST/realtime event API; no cross-server federation</t>
  </si>
  <si>
    <t>Mattermost APIs/WebSocket; no general cross-server federation</t>
  </si>
  <si>
    <t>REST/WebSocket/DDP + Matrix-based federation capabilities</t>
  </si>
  <si>
    <t>Centralized/independent servers; no federation verified</t>
  </si>
  <si>
    <t>Federated infrastructure planned/implemented in evolving form</t>
  </si>
  <si>
    <t>Custom federation protocol in development</t>
  </si>
  <si>
    <t>Independent servers; no federation verified</t>
  </si>
  <si>
    <t>Discord-like API; federation planned</t>
  </si>
  <si>
    <t>ATProto-based data model; not a Matrix-style chat federation</t>
  </si>
  <si>
    <t>Nostr + Concord + NIP-29 relay groups</t>
  </si>
  <si>
    <t>Custom relay protocol + CRDT sync; no central account server</t>
  </si>
  <si>
    <t>Custom server protocol/WebSockets; federation/decentralization features</t>
  </si>
  <si>
    <t>No federation; independent self-host copies</t>
  </si>
  <si>
    <t>Independent instances/nodes; federation/migration features</t>
  </si>
  <si>
    <t>kaede-fed/1 signed HTTP/event protocol plus pooled signed WebSocket federation</t>
  </si>
  <si>
    <t>Client License (FOSS / Proprietary)</t>
  </si>
  <si>
    <t>FOSS (web client AGPL-3.0; clients vary)</t>
  </si>
  <si>
    <t>Proprietary during alpha; open-source release planned</t>
  </si>
  <si>
    <t>FOSS (AGPL-3.0)</t>
  </si>
  <si>
    <t>Varies by client; many FOSS (e.g., Element, Element X, Cinny)</t>
  </si>
  <si>
    <t>FOSS (AGPL-3.0 project components)</t>
  </si>
  <si>
    <t>FOSS (BSD-style / BSD-3-Clause)</t>
  </si>
  <si>
    <t>FOSS (Apache-2.0)</t>
  </si>
  <si>
    <t>FOSS/open-source clients; exact repo license varies</t>
  </si>
  <si>
    <t>FOSS core client; MIT components / enterprise extensions</t>
  </si>
  <si>
    <t>FOSS GPL-family components</t>
  </si>
  <si>
    <t>Proprietary client / source status mixed</t>
  </si>
  <si>
    <t>Client source planned; not yet fully public</t>
  </si>
  <si>
    <t>Open-source client code</t>
  </si>
  <si>
    <t>Fermi client AGPL-3.0</t>
  </si>
  <si>
    <t>MPL-2.0 project</t>
  </si>
  <si>
    <t>FOSS AGPL-3.0</t>
  </si>
  <si>
    <t>AGPL open source</t>
  </si>
  <si>
    <t>AGPL-3.0</t>
  </si>
  <si>
    <t>Server License (FOSS / Proprietary)</t>
  </si>
  <si>
    <t>FOSS (backend generally AGPL-3.0)</t>
  </si>
  <si>
    <t>Varies by homeserver; Synapse is AGPLv3/commercial dual model</t>
  </si>
  <si>
    <t>FOSS (Apache-2.0 server/web app)</t>
  </si>
  <si>
    <t>Open source Team Edition / AGPL-source plus commercial Enterprise editions</t>
  </si>
  <si>
    <t>FOSS core (MIT) + enterprise-licensed portions</t>
  </si>
  <si>
    <t>FOSS GPL-3.0 server/web components</t>
  </si>
  <si>
    <t>Backend source public</t>
  </si>
  <si>
    <t>Open-source server stack/components</t>
  </si>
  <si>
    <t>MPL-2.0 project/server components</t>
  </si>
  <si>
    <t>Open source/protocol components</t>
  </si>
  <si>
    <t>Open source relay/server</t>
  </si>
  <si>
    <t>Proprietary Rust backend</t>
  </si>
  <si>
    <t>Client Repo URL</t>
  </si>
  <si>
    <t>N/A — no public core client source repository</t>
  </si>
  <si>
    <t>https://github.com/stoatchat/for-web</t>
  </si>
  <si>
    <t>N/A — not public yet</t>
  </si>
  <si>
    <t>https://github.com/fluxerapp/fluxer</t>
  </si>
  <si>
    <t>No single client repo — clients are separate implementations</t>
  </si>
  <si>
    <t>https://github.com/spacebarchat/client</t>
  </si>
  <si>
    <t>https://github.com/mumble-voip/mumble</t>
  </si>
  <si>
    <t>https://github.com/zulip/zulip-desktop</t>
  </si>
  <si>
    <t>https://github.com/mattermost/mattermost-desktop</t>
  </si>
  <si>
    <t>https://github.com/RocketChat/Rocket.Chat.Electron</t>
  </si>
  <si>
    <t>https://github.com/Nerimity/nerimity-web</t>
  </si>
  <si>
    <t>https://github.com/mezonai/mezon</t>
  </si>
  <si>
    <t>https://codeberg.org/MelodyChat/Fermi</t>
  </si>
  <si>
    <t>https://github.com/muni-town/roomy</t>
  </si>
  <si>
    <t>https://github.com/hackthedev/dcts-shipping</t>
  </si>
  <si>
    <t>https://github.com/rafaelcg/pqp</t>
  </si>
  <si>
    <t>https://github.com/Valour-Software/Valour</t>
  </si>
  <si>
    <t>https://github.com/Weeredjs/Weered</t>
  </si>
  <si>
    <t>https://github.com/CookieNom/KaedeChat</t>
  </si>
  <si>
    <t>Server Repo URL</t>
  </si>
  <si>
    <t>N/A — no public core server source repository</t>
  </si>
  <si>
    <t>https://github.com/stoatchat/stoatchat</t>
  </si>
  <si>
    <t>No single server repo — Synapse, Dendrite/others implement Matrix</t>
  </si>
  <si>
    <t>https://github.com/spacebarchat/server</t>
  </si>
  <si>
    <t>https://github.com/zulip/zulip</t>
  </si>
  <si>
    <t>https://github.com/mattermost/mattermost</t>
  </si>
  <si>
    <t>https://github.com/RocketChat/Rocket.Chat</t>
  </si>
  <si>
    <t>https://github.com/Nerimity/nerimity-server</t>
  </si>
  <si>
    <t>https://github.com/AlpineBits-ch/AlpineBackend</t>
  </si>
  <si>
    <t>https://codeberg.org/MelodyChat/Harmony</t>
  </si>
  <si>
    <t>Self-Hosting Setup Difficulty (1–5)</t>
  </si>
  <si>
    <t>N/A — official self-hosting unsupported</t>
  </si>
  <si>
    <t>4/5</t>
  </si>
  <si>
    <t>N/A — self-hosting not currently offered</t>
  </si>
  <si>
    <t>3/5</t>
  </si>
  <si>
    <t>N/A — no self-hosting</t>
  </si>
  <si>
    <t>4/5 (implementation-dependent)</t>
  </si>
  <si>
    <t>2/5</t>
  </si>
  <si>
    <t>4/5 (unsupported)</t>
  </si>
  <si>
    <t>4/5 / evolving</t>
  </si>
  <si>
    <t>3/5 for using hosted relays; self-host relay more complex</t>
  </si>
  <si>
    <t>2/5 — docker compose</t>
  </si>
  <si>
    <t>2/5 — interactive make setup wizard + Docker Compose; still requires DNS/TLS/reverse proxy</t>
  </si>
  <si>
    <t>Docker / Container Support</t>
  </si>
  <si>
    <t>Yes — official Docker Compose self-host stack</t>
  </si>
  <si>
    <t>Yes — self-host tooling/Docker</t>
  </si>
  <si>
    <t>Yes — implementation-dependent</t>
  </si>
  <si>
    <t>Yes — Docker supported</t>
  </si>
  <si>
    <t>Yes — official Docker image available</t>
  </si>
  <si>
    <t>Yes — TS6 server Docker/self-host guidance</t>
  </si>
  <si>
    <t>Yes — Docker/community deployment options</t>
  </si>
  <si>
    <t>Yes — container/Kubernetes deployment supported</t>
  </si>
  <si>
    <t>Yes — Docker/Kubernetes supported</t>
  </si>
  <si>
    <t>No official self-hosting verified</t>
  </si>
  <si>
    <t>Self-hosting advertised</t>
  </si>
  <si>
    <t>No self-hosting verified</t>
  </si>
  <si>
    <t>Relay/self-host options</t>
  </si>
  <si>
    <t>Yes — Docker</t>
  </si>
  <si>
    <t>Yes — docker compose</t>
  </si>
  <si>
    <t>No self-hosting advertised</t>
  </si>
  <si>
    <t>Yes — Docker Compose</t>
  </si>
  <si>
    <t>Deployment &amp; Network Model</t>
  </si>
  <si>
    <t>FastAPI REST/federation + separate WebSocket Gateway; PostgreSQL durable state; Dragonfly ephemeral/tasks; S3-compatible media; LiveKit media</t>
  </si>
  <si>
    <t>Centralized Hosted Service?</t>
  </si>
  <si>
    <t>Self-Hosting Supported?</t>
  </si>
  <si>
    <t>Peer-to-Peer?</t>
  </si>
  <si>
    <t>Public Protocol Specification?</t>
  </si>
  <si>
    <t>Yes — kaede-fed/1 is publicly documented; project-specific protocol, not an external standard</t>
  </si>
  <si>
    <t>Official Docker Image?</t>
  </si>
  <si>
    <t>No registry image documented; production Compose builds Kaede from the checkout</t>
  </si>
  <si>
    <t>Topology</t>
  </si>
  <si>
    <t>Independent Instances?</t>
  </si>
  <si>
    <t>Cross-Instance Rooms / Communities?</t>
  </si>
  <si>
    <t>Cross-Instance DMs?</t>
  </si>
  <si>
    <t>Account Portable Across Instances?</t>
  </si>
  <si>
    <t>Protocol</t>
  </si>
  <si>
    <t>Primary Network Protocol</t>
  </si>
  <si>
    <t>Discord API Compatible?</t>
  </si>
  <si>
    <t>Code &amp; Licensing</t>
  </si>
  <si>
    <t>Client Source Available?</t>
  </si>
  <si>
    <t>Client License</t>
  </si>
  <si>
    <t>Server Source Available?</t>
  </si>
  <si>
    <t>Server License</t>
  </si>
  <si>
    <t>Reference Client Repo</t>
  </si>
  <si>
    <t>Reference Server Repo</t>
  </si>
  <si>
    <t>Deployment Requirements</t>
  </si>
  <si>
    <t>Docker Compose?</t>
  </si>
  <si>
    <t>Kubernetes Documentation?</t>
  </si>
  <si>
    <t>No — no Kubernetes deployment guide located</t>
  </si>
  <si>
    <t>External Database Required?</t>
  </si>
  <si>
    <t>Yes — PostgreSQL</t>
  </si>
  <si>
    <t>External Cache Required?</t>
  </si>
  <si>
    <t>Yes — Dragonfly for ephemeral/cache/task state</t>
  </si>
  <si>
    <t>Object Storage Required?</t>
  </si>
  <si>
    <t>Yes — S3-compatible object storage; Garage is bundled default</t>
  </si>
  <si>
    <t>Self-Host Setup Difficulty (1-5)</t>
  </si>
  <si>
    <t>Architecture Source / Notes</t>
  </si>
  <si>
    <t>Operations &amp; Scale</t>
  </si>
  <si>
    <t>High Availability Documented?</t>
  </si>
  <si>
    <t>N/A — SaaS</t>
  </si>
  <si>
    <t>N/A — no public self-hosting</t>
  </si>
  <si>
    <t>Partial — component replication/scaling behavior is documented, but no turnkey multi-node HA deployment guide located</t>
  </si>
  <si>
    <t>Horizontal Scaling Documented?</t>
  </si>
  <si>
    <t>Backup / Restore Documentation?</t>
  </si>
  <si>
    <t>N/A — hosted</t>
  </si>
  <si>
    <t>Yes — operator guide covers PostgreSQL/object-storage/secrets/config backups and upgrade/rollback boundaries</t>
  </si>
  <si>
    <t>Built-In Metrics / Observability?</t>
  </si>
  <si>
    <t>Yes — internal metrics, Prometheus rules and provisioned Grafana dashboard documented</t>
  </si>
  <si>
    <t>SMTP / Email Service Required?</t>
  </si>
  <si>
    <t>Yes for full email flows</t>
  </si>
  <si>
    <t>Common/optional by config</t>
  </si>
  <si>
    <t>Optional — email can be disabled; with email off signup uses username/password and recovery becomes operator-assisted</t>
  </si>
  <si>
    <t>Web Client</t>
  </si>
  <si>
    <t>Yes — Solid.js PWA</t>
  </si>
  <si>
    <t>Yes/desktop service surface</t>
  </si>
  <si>
    <t>Yes — depends on chosen client</t>
  </si>
  <si>
    <t>Spacebar client/web options</t>
  </si>
  <si>
    <t>No official web client core</t>
  </si>
  <si>
    <t>Web support/product-generation dependent</t>
  </si>
  <si>
    <t>Yes — Fermi</t>
  </si>
  <si>
    <t>No web-first; native clients</t>
  </si>
  <si>
    <t>Desktop Client</t>
  </si>
  <si>
    <t>Yes — Electron wrapper</t>
  </si>
  <si>
    <t>PWA/web-first</t>
  </si>
  <si>
    <t>Project client exists</t>
  </si>
  <si>
    <t>No native desktop</t>
  </si>
  <si>
    <t>Yes — Windows</t>
  </si>
  <si>
    <t>Desktop Framework</t>
  </si>
  <si>
    <t>Electron</t>
  </si>
  <si>
    <t>Electron + web stack</t>
  </si>
  <si>
    <t>Next.js/TypeScript web stack</t>
  </si>
  <si>
    <t>Varies: Electron/native/GTK/etc.</t>
  </si>
  <si>
    <t>Native Qt</t>
  </si>
  <si>
    <t>Proprietary/native</t>
  </si>
  <si>
    <t>Wails v3 native desktop</t>
  </si>
  <si>
    <t>Rust native desktop</t>
  </si>
  <si>
    <t>Browser-first</t>
  </si>
  <si>
    <t>TS/HTML/CSS web</t>
  </si>
  <si>
    <t>Web app</t>
  </si>
  <si>
    <t>Flutter + Rust</t>
  </si>
  <si>
    <t>Blazor/WebAssembly + launcher</t>
  </si>
  <si>
    <t>Tauri</t>
  </si>
  <si>
    <t>Tauri + SvelteKit; Rust owns native audio/video/capture/device work</t>
  </si>
  <si>
    <t>Windows Support</t>
  </si>
  <si>
    <t>Yes via web/PWA</t>
  </si>
  <si>
    <t>Yes — many clients</t>
  </si>
  <si>
    <t>Web</t>
  </si>
  <si>
    <t>Yes browser</t>
  </si>
  <si>
    <t>macOS Support</t>
  </si>
  <si>
    <t>Linux Support</t>
  </si>
  <si>
    <t>Yes — deb/rpm/AppImage/tar.gz</t>
  </si>
  <si>
    <t>Linux experimental</t>
  </si>
  <si>
    <t>Android Support</t>
  </si>
  <si>
    <t>Yes — Play Store</t>
  </si>
  <si>
    <t>Native Android</t>
  </si>
  <si>
    <t>Native Flutter beta + PWA</t>
  </si>
  <si>
    <t>Yes — Google Play</t>
  </si>
  <si>
    <t>Third-party clients</t>
  </si>
  <si>
    <t>Android APK</t>
  </si>
  <si>
    <t>Google Play</t>
  </si>
  <si>
    <t>Native</t>
  </si>
  <si>
    <t>Browser</t>
  </si>
  <si>
    <t>Mobile port usable</t>
  </si>
  <si>
    <t>Android</t>
  </si>
  <si>
    <t>APK beta</t>
  </si>
  <si>
    <t>iOS Support</t>
  </si>
  <si>
    <t>Yes — App Store</t>
  </si>
  <si>
    <t>TestFlight beta + PWA</t>
  </si>
  <si>
    <t>No official iOS app</t>
  </si>
  <si>
    <t>App Store</t>
  </si>
  <si>
    <t>Web works; native iOS not yet</t>
  </si>
  <si>
    <t>TestFlight planned</t>
  </si>
  <si>
    <t>TestFlight beta</t>
  </si>
  <si>
    <t>PWA</t>
  </si>
  <si>
    <t>Web app; installability varies</t>
  </si>
  <si>
    <t>Many clients have PWAs</t>
  </si>
  <si>
    <t>Yes/web</t>
  </si>
  <si>
    <t>Mobile Feature Parity</t>
  </si>
  <si>
    <t>High</t>
  </si>
  <si>
    <t>Partial — web has more features</t>
  </si>
  <si>
    <t>Varies widely</t>
  </si>
  <si>
    <t>Early</t>
  </si>
  <si>
    <t>Low</t>
  </si>
  <si>
    <t>Growing</t>
  </si>
  <si>
    <t>High — Flutter mobile has full chat/guild administration plus native voice/video/screen share</t>
  </si>
  <si>
    <t>Official Client Can Select Custom Instance</t>
  </si>
  <si>
    <t>N/A — central service</t>
  </si>
  <si>
    <t>Web client works well with self-host; most official clients currently do not</t>
  </si>
  <si>
    <t>No — hosted only</t>
  </si>
  <si>
    <t>Self-host support exists; client custom-instance UX still maturing</t>
  </si>
  <si>
    <t>Yes — core client discovery behavior</t>
  </si>
  <si>
    <t>Yes by design</t>
  </si>
  <si>
    <t>Yes — choose any server</t>
  </si>
  <si>
    <t>Yes — custom Zulip server URL</t>
  </si>
  <si>
    <t>Yes — server URL</t>
  </si>
  <si>
    <t>Yes — workspace/server URL</t>
  </si>
  <si>
    <t>Self-host connection supported</t>
  </si>
  <si>
    <t>Technically possible but unsupported</t>
  </si>
  <si>
    <t>Self-host/federated connection planned</t>
  </si>
  <si>
    <t>Future custom instance/federation support</t>
  </si>
  <si>
    <t>Yes — chosen server</t>
  </si>
  <si>
    <t>Yes — Fermi instance picker</t>
  </si>
  <si>
    <t>ATProto identity/provider based</t>
  </si>
  <si>
    <t>Relays are configurable</t>
  </si>
  <si>
    <t>Yes — relay selection/self-host</t>
  </si>
  <si>
    <t>Self-host supported</t>
  </si>
  <si>
    <t>Yes — self-host instances</t>
  </si>
  <si>
    <t>Yes — official clients can sign in to any compatible Kaede home</t>
  </si>
  <si>
    <t>Third-Party Clients</t>
  </si>
  <si>
    <t>No supported third-party clients</t>
  </si>
  <si>
    <t>No established ecosystem</t>
  </si>
  <si>
    <t>Yes — many interchangeable clients</t>
  </si>
  <si>
    <t>Potential Discord-compatible clients/community clients</t>
  </si>
  <si>
    <t>Yes — third-party Mumble clients</t>
  </si>
  <si>
    <t>Third-party/API clients possible</t>
  </si>
  <si>
    <t>Custom clients possible</t>
  </si>
  <si>
    <t>No established third-party clients</t>
  </si>
  <si>
    <t>Community/forks possible</t>
  </si>
  <si>
    <t>Forks/custom possible</t>
  </si>
  <si>
    <t>Yes — API permits independent clients</t>
  </si>
  <si>
    <t>Other clients can use Nostr but not necessarily Armada features</t>
  </si>
  <si>
    <t>No mature third-party client ecosystem</t>
  </si>
  <si>
    <t>Open source/custom possible</t>
  </si>
  <si>
    <t>Open API/custom possible</t>
  </si>
  <si>
    <t>No established third-party client ecosystem yet</t>
  </si>
  <si>
    <t>Multi-Account UX</t>
  </si>
  <si>
    <t>Desktop Account Switcher up to 5 accounts</t>
  </si>
  <si>
    <t>Client-dependent; some support multiple accounts</t>
  </si>
  <si>
    <t>Server identity/bookmarks rather than cloud account switching</t>
  </si>
  <si>
    <t>Multiple accounts/orgs</t>
  </si>
  <si>
    <t>Multiple servers</t>
  </si>
  <si>
    <t>Multiple workspaces</t>
  </si>
  <si>
    <t>Key-based identity</t>
  </si>
  <si>
    <t>Multi-device identity sync</t>
  </si>
  <si>
    <t>Multiple Server / Instance UX</t>
  </si>
  <si>
    <t>Excellent multi-server UX</t>
  </si>
  <si>
    <t>Instance UX limited compared with Matrix</t>
  </si>
  <si>
    <t>Single hosted service</t>
  </si>
  <si>
    <t>Self-host instances supported; federation not yet</t>
  </si>
  <si>
    <t>Excellent multi-community UX</t>
  </si>
  <si>
    <t>Can use multiple homeservers/servers from one client depending client</t>
  </si>
  <si>
    <t>Multiple independent instances; no federation</t>
  </si>
  <si>
    <t>Good server bookmark UX</t>
  </si>
  <si>
    <t>Good multi-server/bookmark model</t>
  </si>
  <si>
    <t>Good multi-organization UX</t>
  </si>
  <si>
    <t>Good multi-server UX</t>
  </si>
  <si>
    <t>Good multi-workspace UX</t>
  </si>
  <si>
    <t>Multi-server</t>
  </si>
  <si>
    <t>Single primary service</t>
  </si>
  <si>
    <t>Multi-community</t>
  </si>
  <si>
    <t>Federated instance UX planned</t>
  </si>
  <si>
    <t>Federation intended</t>
  </si>
  <si>
    <t>Multi-clan</t>
  </si>
  <si>
    <t>Single service</t>
  </si>
  <si>
    <t>Server UX</t>
  </si>
  <si>
    <t>Yes — instance dropdown</t>
  </si>
  <si>
    <t>ATProto spaces</t>
  </si>
  <si>
    <t>Relay/community UX</t>
  </si>
  <si>
    <t>Relay selection</t>
  </si>
  <si>
    <t>Yes — home servers/instances</t>
  </si>
  <si>
    <t>Node/server UX</t>
  </si>
  <si>
    <t>One home account reaches federated guilds/DMs across many instances</t>
  </si>
  <si>
    <t>Client Plugins / Modding</t>
  </si>
  <si>
    <t>No official client plugins/mods</t>
  </si>
  <si>
    <t>No official plugin/modding architecture verified</t>
  </si>
  <si>
    <t>No client mods</t>
  </si>
  <si>
    <t>Instead of one modded client, users can choose a different Matrix client</t>
  </si>
  <si>
    <t>Project aims for rich theming/plugin support</t>
  </si>
  <si>
    <t>Plugin system supported</t>
  </si>
  <si>
    <t>Add-ons/plugins ecosystem</t>
  </si>
  <si>
    <t>No general client plugin architecture</t>
  </si>
  <si>
    <t>Server/webapp plugin architecture; not arbitrary desktop client mods</t>
  </si>
  <si>
    <t>Apps framework more than client modding</t>
  </si>
  <si>
    <t>No official modding architecture verified</t>
  </si>
  <si>
    <t>Themes/community modifications</t>
  </si>
  <si>
    <t>No official plugins verified</t>
  </si>
  <si>
    <t>No official plugin model</t>
  </si>
  <si>
    <t>No plugin architecture verified</t>
  </si>
  <si>
    <t>Plugin system</t>
  </si>
  <si>
    <t>No official plugin architecture</t>
  </si>
  <si>
    <t>Themes marketplace, not arbitrary client plugins</t>
  </si>
  <si>
    <t>Custom CSS/theme support is developer-reported; no general client-plugin architecture documented</t>
  </si>
  <si>
    <t>Push Notification Model</t>
  </si>
  <si>
    <t>FCM/APNs internally; exact implementation details not all public</t>
  </si>
  <si>
    <t>Homeserver/client-specific (FCM/APNs/UnifiedPush/etc.)</t>
  </si>
  <si>
    <t>Mobile-client dependent</t>
  </si>
  <si>
    <t>FCM/APNs; exact self-host push options vary</t>
  </si>
  <si>
    <t>FCM/APNs; enterprise push options</t>
  </si>
  <si>
    <t>FCM/APNs; self-host configuration</t>
  </si>
  <si>
    <t>ATProto/client dependent</t>
  </si>
  <si>
    <t>Nostr relay model</t>
  </si>
  <si>
    <t>Native push on mobile</t>
  </si>
  <si>
    <t>Optional content-free signed wake relay to FCM/APNs for official store apps; self-host/custom relay and no-push builds are supported</t>
  </si>
  <si>
    <t>Client Notes</t>
  </si>
  <si>
    <t>One official client family controls UX.</t>
  </si>
  <si>
    <t>Self-host docs explicitly warn most official clients do not currently support self-hosted instances.</t>
  </si>
  <si>
    <t>Product-first hosted alpha.</t>
  </si>
  <si>
    <t>Native mobile is still beta as of Sep 2026.</t>
  </si>
  <si>
    <t>Mobile can join calls but cannot share screen.</t>
  </si>
  <si>
    <t>Element is only one option; do not treat Element's limitations as Matrix-wide limits.</t>
  </si>
  <si>
    <t>Compatibility is a design goal; current completeness varies.</t>
  </si>
  <si>
    <t>Native desktop focus.</t>
  </si>
  <si>
    <t>Proprietary client family.</t>
  </si>
  <si>
    <t>Team-text-first client family.</t>
  </si>
  <si>
    <t>Enterprise deployment focus.</t>
  </si>
  <si>
    <t>Mature cross-platform collaboration client.</t>
  </si>
  <si>
    <t>Native desktop/mobile/web.</t>
  </si>
  <si>
    <t>Open-source web/desktop ecosystem.</t>
  </si>
  <si>
    <t>Wide platform coverage.</t>
  </si>
  <si>
    <t>Open beta.</t>
  </si>
  <si>
    <t>Experimental alpha/beta.</t>
  </si>
  <si>
    <t>High-performance native stack is a headline differentiator.</t>
  </si>
  <si>
    <t>Very new platform.</t>
  </si>
  <si>
    <t>Browser-first self-host model.</t>
  </si>
  <si>
    <t>Fermi is only one client implementation.</t>
  </si>
  <si>
    <t>Bluesky login is a core onboarding path.</t>
  </si>
  <si>
    <t>Client is distinct from relays/protocol.</t>
  </si>
  <si>
    <t>Signed Windows/macOS builds plus mobile work.</t>
  </si>
  <si>
    <t>Android and desktop share advanced features.</t>
  </si>
  <si>
    <t>Portal/window workspace is a distinctive UX feature.</t>
  </si>
  <si>
    <t>Broad desktop/web/mobile coverage for an early project.</t>
  </si>
  <si>
    <t>Wide device support for a small team.</t>
  </si>
  <si>
    <t>Distinctive multi-window chat UI.</t>
  </si>
  <si>
    <t>Desktop + web now; mobile in progress.</t>
  </si>
  <si>
    <t>The official relay sees home/subscription/timing/network/platform metadata but not message text, sender names, conversation IDs, attachments or encryption keys</t>
  </si>
  <si>
    <t>Desktop &amp; Packaging Detail</t>
  </si>
  <si>
    <t>Portable / Standalone Desktop Build</t>
  </si>
  <si>
    <t>No official portable build</t>
  </si>
  <si>
    <t>ARM Desktop Support</t>
  </si>
  <si>
    <t>Automatic Updates</t>
  </si>
  <si>
    <t>Server auto-updater is documented; native release tooling also exists</t>
  </si>
  <si>
    <t>System Tray / Background Mode</t>
  </si>
  <si>
    <t>Tauri desktop + native Flutter clients support background call/notification behavior</t>
  </si>
  <si>
    <t>Yes — always-on-top voice HUD</t>
  </si>
  <si>
    <t>Desktop Client Framework (Native Rust/Qt vs Electron vs PWA)</t>
  </si>
  <si>
    <t>Electron 42 desktop; React Native 0.86 mobile (2026)</t>
  </si>
  <si>
    <t>Web PWA (Solid.js); desktop Electron wrapper; native Android; iOS project</t>
  </si>
  <si>
    <t>Web-first Next.js/TypeScript; PWA</t>
  </si>
  <si>
    <t>Web/PWA + Electron desktop; Flutter native mobile beta</t>
  </si>
  <si>
    <t>No single client stack — Element is one client, not Matrix; clients include Element/Element X, Cinny, FluffyChat, Nheko, etc.</t>
  </si>
  <si>
    <t>Native Qt desktop client</t>
  </si>
  <si>
    <t>Web app + Electron desktop + React Native mobile</t>
  </si>
  <si>
    <t>Electron desktop; web; native mobile</t>
  </si>
  <si>
    <t>Web + Electron desktop + native mobile</t>
  </si>
  <si>
    <t>Native apps built with Wails v3; web client</t>
  </si>
  <si>
    <t>Web + Electron desktop</t>
  </si>
  <si>
    <t>Web + native desktop/mobile</t>
  </si>
  <si>
    <t>Web; native mobile planned</t>
  </si>
  <si>
    <t>Native Rust desktop; native mobile; web</t>
  </si>
  <si>
    <t>Browser-first; desktop/mobile roadmap/availability evolving</t>
  </si>
  <si>
    <t>Web-only currently</t>
  </si>
  <si>
    <t>Native Flutter + Rust</t>
  </si>
  <si>
    <t>Web + desktop + Android</t>
  </si>
  <si>
    <t>Web/desktop app</t>
  </si>
  <si>
    <t>Web + desktop + mobile betas</t>
  </si>
  <si>
    <t>Web + Windows/Linux/macOS/iOS/Android</t>
  </si>
  <si>
    <t>Web + Windows + Android</t>
  </si>
  <si>
    <t>Web + Tauri desktop; mobile in works</t>
  </si>
  <si>
    <t>Idle Desktop RAM Usage (MB)</t>
  </si>
  <si>
    <t>No desktop app</t>
  </si>
  <si>
    <t>78 MB RAM on Windows initial boot (developer-reported measurement)</t>
  </si>
  <si>
    <t>Yes — x64 and ARM64</t>
  </si>
  <si>
    <t>Web/PWA</t>
  </si>
  <si>
    <t>Web/browser</t>
  </si>
  <si>
    <t>Web TS/HTML/CSS</t>
  </si>
  <si>
    <t>Web/TypeScript</t>
  </si>
  <si>
    <t>Flutter/Rust native</t>
  </si>
  <si>
    <t>Blazor/WebAssembly; desktop launcher</t>
  </si>
  <si>
    <t>Linux Support (Flatpak / Deb / AUR)</t>
  </si>
  <si>
    <t>Yes — official .deb, .tar.gz, .rpm, .pkg.tar.zst; no official Flatpak listed</t>
  </si>
  <si>
    <t>Yes — deb/AppImage</t>
  </si>
  <si>
    <t>Yes — deb/AppImage/rpm/tar</t>
  </si>
  <si>
    <t>Mobile App Feature Parity</t>
  </si>
  <si>
    <t>High but not full; mobile and desktop are converging, with some feature/surface differences</t>
  </si>
  <si>
    <t>Partial — mobile lacks screen sharing and some management features</t>
  </si>
  <si>
    <t>Not full parity; third-party mobile clients</t>
  </si>
  <si>
    <t>High but some differences</t>
  </si>
  <si>
    <t>Yes — AppImage/deb</t>
  </si>
  <si>
    <t>Yes — AppImage/deb beta</t>
  </si>
  <si>
    <t>Android Distribution (Play Store / F-Droid / APK)</t>
  </si>
  <si>
    <t>Google Play (official); F-Droid/APK not officially listed on Discord's download page</t>
  </si>
  <si>
    <t>Android native beta/public testing + PWA</t>
  </si>
  <si>
    <t>Google Play / availability varies</t>
  </si>
  <si>
    <t>Google Play / enterprise distribution</t>
  </si>
  <si>
    <t>Mobile browser/app roadmap</t>
  </si>
  <si>
    <t>Mobile port</t>
  </si>
  <si>
    <t>Android / Google Play</t>
  </si>
  <si>
    <t>Android APK beta</t>
  </si>
  <si>
    <t>Signed APK</t>
  </si>
  <si>
    <t>Mobile in works</t>
  </si>
  <si>
    <t>Android Play Store beta/open-testing + sideload (developer report)</t>
  </si>
  <si>
    <t>iOS Distribution (App Store / TestFlight / Sideload)</t>
  </si>
  <si>
    <t>App Store; TestFlight used for beta/testing</t>
  </si>
  <si>
    <t>TestFlight beta; no App Store yet</t>
  </si>
  <si>
    <t>App Store / availability varies</t>
  </si>
  <si>
    <t>App Store / enterprise distribution</t>
  </si>
  <si>
    <t>iOS app available</t>
  </si>
  <si>
    <t>No iOS app documented</t>
  </si>
  <si>
    <t>Native iOS</t>
  </si>
  <si>
    <t>iOS TestFlight planned/coming</t>
  </si>
  <si>
    <t>iOS TestFlight beta</t>
  </si>
  <si>
    <t>TestFlight and self-build (developer report)</t>
  </si>
  <si>
    <t>Push Notification Engine (FCM / APNs / UnifiedPush / Polling)</t>
  </si>
  <si>
    <t>Varies by client/server</t>
  </si>
  <si>
    <t>Operator/client-dependent</t>
  </si>
  <si>
    <t>FCM/APNs; enterprise options vary</t>
  </si>
  <si>
    <t>FCM/APNs; deployment-specific</t>
  </si>
  <si>
    <t>No/limited web</t>
  </si>
  <si>
    <t>PWA/add-to-home-screen</t>
  </si>
  <si>
    <t>Client Delivery &amp; Runtime</t>
  </si>
  <si>
    <t>Auto-Update Delivery</t>
  </si>
  <si>
    <t>Desktop/mobile dependent</t>
  </si>
  <si>
    <t>Hardware Acceleration Controls</t>
  </si>
  <si>
    <t>Signup Requirements</t>
  </si>
  <si>
    <t>Official instance: username + password + email. Self-host can disable email, leaving username/password.</t>
  </si>
  <si>
    <t>Username Required?</t>
  </si>
  <si>
    <t>Password Required?</t>
  </si>
  <si>
    <t>No / key-based</t>
  </si>
  <si>
    <t>Email Required?</t>
  </si>
  <si>
    <t>Optional / provider-dependent</t>
  </si>
  <si>
    <t>Yes on official instance; optional on self-host</t>
  </si>
  <si>
    <t>Phone Required?</t>
  </si>
  <si>
    <t>May be required</t>
  </si>
  <si>
    <t>Date of Birth Required?</t>
  </si>
  <si>
    <t>Government ID / Age Verification Possible?</t>
  </si>
  <si>
    <t>Possible in some regions / safety flows</t>
  </si>
  <si>
    <t>Cryptographic Keypair / Secret Required?</t>
  </si>
  <si>
    <t>E2EE-capable accounts use cryptographic device/account identities, but no user-entered key is required at signup</t>
  </si>
  <si>
    <t>Access &amp; Recovery</t>
  </si>
  <si>
    <t>Guest / No-Account Access?</t>
  </si>
  <si>
    <t>Yes for some event/link flows</t>
  </si>
  <si>
    <t>Account Recovery Method</t>
  </si>
  <si>
    <t>Email reset</t>
  </si>
  <si>
    <t>Recovery phrase / key material</t>
  </si>
  <si>
    <t>12-word Rift Key / recovery key</t>
  </si>
  <si>
    <t>Email reset when email is enabled; operator-assisted policy is needed when email is disabled</t>
  </si>
  <si>
    <t>Password Reset Available?</t>
  </si>
  <si>
    <t>Recovery Without Email/Phone?</t>
  </si>
  <si>
    <t>Yes — recovery key</t>
  </si>
  <si>
    <t>Partial — possible only through operator-assisted recovery when email is disabled</t>
  </si>
  <si>
    <t>Identity Model</t>
  </si>
  <si>
    <t>Global Unique Username?</t>
  </si>
  <si>
    <t>Yes / central namespace</t>
  </si>
  <si>
    <t>Homeserver-scoped Matrix ID</t>
  </si>
  <si>
    <t>Yes — username@domain</t>
  </si>
  <si>
    <t>Display Name Separate from Username?</t>
  </si>
  <si>
    <t>Per-Community Profile?</t>
  </si>
  <si>
    <t>Not specifically documented</t>
  </si>
  <si>
    <t>Multiple Accounts Supported?</t>
  </si>
  <si>
    <t>Account Switcher Max Accounts</t>
  </si>
  <si>
    <t>Identity Portable Across Servers / Instances?</t>
  </si>
  <si>
    <t>Federated identity works across instances, but home-instance migration is not documented</t>
  </si>
  <si>
    <t>Account Lifecycle</t>
  </si>
  <si>
    <t>Minimum Age</t>
  </si>
  <si>
    <t>18+</t>
  </si>
  <si>
    <t>Operator-configurable legal minimum age when custom policy pages are enabled; no single Kaede-wide age</t>
  </si>
  <si>
    <t>Self-Service Account Deletion?</t>
  </si>
  <si>
    <t>No — operator guide explicitly says no self-service account-deletion control</t>
  </si>
  <si>
    <t>Account Deletion Retention</t>
  </si>
  <si>
    <t>Operator/request workflow; exact purge window is deployment-specific/not publicly fixed</t>
  </si>
  <si>
    <t>Inactive Account Deletion Policy</t>
  </si>
  <si>
    <t>May delete inactive accounts after 2 years</t>
  </si>
  <si>
    <t>Account / Identity Source URL</t>
  </si>
  <si>
    <t>https://support.discord.com/hc/en-us/articles/31676852332439-Discord-Sign-Up-and-Registration-Guide</t>
  </si>
  <si>
    <t>https://therift.chat/about/</t>
  </si>
  <si>
    <t>https://github.com/CookieNom/KaedeChat/blob/main/docs/operator.md</t>
  </si>
  <si>
    <t>Account / Identity Notes</t>
  </si>
  <si>
    <t>Email + username + password + DOB on desktop; phone or email on mobile; verification may be required</t>
  </si>
  <si>
    <t>Email + username + password + DOB; phone verification may be triggered</t>
  </si>
  <si>
    <t>Username/email/password</t>
  </si>
  <si>
    <t>Account on a homeserver; credential/SSO rules are server-dependent</t>
  </si>
  <si>
    <t>Operator-configurable account rules</t>
  </si>
  <si>
    <t>Username/certificate/password depending server</t>
  </si>
  <si>
    <t>Email/SSO depending deployment</t>
  </si>
  <si>
    <t>Email/SSO/LDAP depending deployment</t>
  </si>
  <si>
    <t>Username + password; no email/phone/ID required</t>
  </si>
  <si>
    <t>Email verification required for messaging</t>
  </si>
  <si>
    <t>Email + username/password</t>
  </si>
  <si>
    <t>Device/account registration</t>
  </si>
  <si>
    <t>No email/phone required; secret-key identity</t>
  </si>
  <si>
    <t>Email/password or account</t>
  </si>
  <si>
    <t>Email/password on Fermi hosted instance</t>
  </si>
  <si>
    <t>Bluesky/ATProto identity by default</t>
  </si>
  <si>
    <t>Keypair/secret-based Nostr identity</t>
  </si>
  <si>
    <t>No traditional account; Ed25519 key + 24-word recovery phrase</t>
  </si>
  <si>
    <t>Server account or key-based messenger identity</t>
  </si>
  <si>
    <t>Username + password only; no email/phone/ID</t>
  </si>
  <si>
    <t>Email only; no phone/ID</t>
  </si>
  <si>
    <t>Handles are immutable username@domain. Email may be disabled by operators. Public operator docs say there is currently no full account export, account migration or self-service account deletion.</t>
  </si>
  <si>
    <t>Authentication &amp; Session Security</t>
  </si>
  <si>
    <t>Two-Factor Authentication (TOTP)?</t>
  </si>
  <si>
    <t>Provider/client dependent</t>
  </si>
  <si>
    <t>Yes/likely — backend architecture explicitly protects encrypted TOTP material; UI enrollment flow was not independently reviewed</t>
  </si>
  <si>
    <t>Passkeys / WebAuthn?</t>
  </si>
  <si>
    <t>SSO/provider dependent</t>
  </si>
  <si>
    <t>SAML / Enterprise SSO?</t>
  </si>
  <si>
    <t>Yes — plans/deployment dependent</t>
  </si>
  <si>
    <t>Yes — paid editions</t>
  </si>
  <si>
    <t>Yes — enterprise</t>
  </si>
  <si>
    <t>OIDC / OAuth Login?</t>
  </si>
  <si>
    <t>Active Session / Device Management?</t>
  </si>
  <si>
    <t>Yes — sessions are independently revocable in the E2EE/security model</t>
  </si>
  <si>
    <t>Discord Server Importer (Channels / Roles / Emotes)</t>
  </si>
  <si>
    <t>No first-party Discord importer verified</t>
  </si>
  <si>
    <t>Planned/advertised Discord server template import</t>
  </si>
  <si>
    <t>No full Discord importer verified</t>
  </si>
  <si>
    <t>Yes — Discord server template import (roles/channels/groups/permissions)</t>
  </si>
  <si>
    <t>No protocol-level Discord importer; tools/clients may provide migration</t>
  </si>
  <si>
    <t>Not an importer; aims for Discord client/bot API compatibility</t>
  </si>
  <si>
    <t>No Discord importer; imports Slack/Mattermost/Rocket.Chat supported</t>
  </si>
  <si>
    <t>No native Discord importer</t>
  </si>
  <si>
    <t>Yes — channels/roles/permissions/emojis/soundboard/events/assets</t>
  </si>
  <si>
    <t>No importer verified</t>
  </si>
  <si>
    <t>Yes — full structure importer</t>
  </si>
  <si>
    <t>No Discord importer verified</t>
  </si>
  <si>
    <t>Discord bridge/import component exists</t>
  </si>
  <si>
    <t>Built-in Discord bridging/copy workflow mentioned in subreddit/project ecosystem</t>
  </si>
  <si>
    <t>No template importer verified</t>
  </si>
  <si>
    <t>Yes — Discord template structure import: categories, channels, forum tags, roles/order/colors, equivalent permissions; no messages/members</t>
  </si>
  <si>
    <t>Yes — built-in Discord importer</t>
  </si>
  <si>
    <t>No — design intentionally differs from Discord</t>
  </si>
  <si>
    <t>No dedicated Discord server importer documented</t>
  </si>
  <si>
    <t>Full Chat History Export (JSON / CSV / HTML)</t>
  </si>
  <si>
    <t>Yes — Data Package ZIP; messages/account data delivered primarily as JSON</t>
  </si>
  <si>
    <t>Data export available</t>
  </si>
  <si>
    <t>Homeserver/client-dependent exports</t>
  </si>
  <si>
    <t>Server/operator logs/config; no Discord-style chat export</t>
  </si>
  <si>
    <t>Exports available</t>
  </si>
  <si>
    <t>Bulk export tools/admin export</t>
  </si>
  <si>
    <t>Admin export tools</t>
  </si>
  <si>
    <t>Local archive export/import</t>
  </si>
  <si>
    <t>Account export/re-import</t>
  </si>
  <si>
    <t>No full account/chat export workflow documented</t>
  </si>
  <si>
    <t>Media / Attachment Backup &amp; Export</t>
  </si>
  <si>
    <t>Yes — Data Package can include uploaded attachments in their file formats</t>
  </si>
  <si>
    <t>Homeserver/client-dependent</t>
  </si>
  <si>
    <t>Exports include realm data; attachment details deployment-dependent</t>
  </si>
  <si>
    <t>Export/backup supported admin-side</t>
  </si>
  <si>
    <t>Backup/export supported admin-side</t>
  </si>
  <si>
    <t>Operator files</t>
  </si>
  <si>
    <t>Local files/data export</t>
  </si>
  <si>
    <t>Operator data</t>
  </si>
  <si>
    <t>Main permissions/roles</t>
  </si>
  <si>
    <t>Direct attachment download exists; bulk media export is not documented</t>
  </si>
  <si>
    <t>Native Discord Bridge Support</t>
  </si>
  <si>
    <t>No native Discord bridge verified</t>
  </si>
  <si>
    <t>No native bridge verified</t>
  </si>
  <si>
    <t>No native live Discord bridge</t>
  </si>
  <si>
    <t>Yes — ecosystem bridges such as matrix-appservice-discord / mautrix-discord</t>
  </si>
  <si>
    <t>API compatibility enables some Discord bots/clients, not a live bridge</t>
  </si>
  <si>
    <t>No native Discord bridge</t>
  </si>
  <si>
    <t>No native live bridge verified</t>
  </si>
  <si>
    <t>No live bridge verified</t>
  </si>
  <si>
    <t>Bridge possible by protocol design; no native bridge verified</t>
  </si>
  <si>
    <t>Discord bot/API compatibility can ease bot migration</t>
  </si>
  <si>
    <t>Yes — bidirectional Discord bridge package</t>
  </si>
  <si>
    <t>Yes — supported/self-hostable bridge direction</t>
  </si>
  <si>
    <t>No Discord bridge verified</t>
  </si>
  <si>
    <t>Discord bridge WIP</t>
  </si>
  <si>
    <t>No message history</t>
  </si>
  <si>
    <t>Yes — official Discord↔Kaede bridge bot is included in the repository</t>
  </si>
  <si>
    <t>Matrix Bridge / Appservice Support</t>
  </si>
  <si>
    <t>No native official Matrix bridge/appservice</t>
  </si>
  <si>
    <t>No native Matrix bridge verified</t>
  </si>
  <si>
    <t>No Matrix bridge verified</t>
  </si>
  <si>
    <t>No native Matrix bridge</t>
  </si>
  <si>
    <t>N/A — Matrix is itself the Matrix protocol</t>
  </si>
  <si>
    <t>Integrations possible; no native Matrix bridge core</t>
  </si>
  <si>
    <t>Federation uses Matrix protocol components; not the same as a generic Matrix bridge</t>
  </si>
  <si>
    <t>Bridge to Matrix possible in theory, not native</t>
  </si>
  <si>
    <t>No Matrix bridge documented</t>
  </si>
  <si>
    <t>IRC Relay Bridge Support</t>
  </si>
  <si>
    <t>No native official IRC relay bridge</t>
  </si>
  <si>
    <t>No native IRC bridge verified</t>
  </si>
  <si>
    <t>No IRC bridge verified</t>
  </si>
  <si>
    <t>No native IRC bridge</t>
  </si>
  <si>
    <t>Yes — ecosystem IRC bridges</t>
  </si>
  <si>
    <t>IRC integration possible via bots; no native relay verified</t>
  </si>
  <si>
    <t>Discord bridge via Bolt/community mentioned; not core verified</t>
  </si>
  <si>
    <t>No native IRC</t>
  </si>
  <si>
    <t>No IRC bridge</t>
  </si>
  <si>
    <t>No IRC bridge documented</t>
  </si>
  <si>
    <t>Multi-Server / Account Switching UX</t>
  </si>
  <si>
    <t>Yes — server switching + desktop Account Switcher for up to 5 accounts</t>
  </si>
  <si>
    <t>Multiple servers/instances are not fully seamless in official clients</t>
  </si>
  <si>
    <t>Self-host instances supported; federation/account portability not yet</t>
  </si>
  <si>
    <t>Client choice is a core feature; users can switch Matrix clients on the same account</t>
  </si>
  <si>
    <t>Instances are separate; no federation</t>
  </si>
  <si>
    <t>Multi-server bookmarks; account identity can use certificates</t>
  </si>
  <si>
    <t>Multi-server bookmarks/connections</t>
  </si>
  <si>
    <t>Multiple organizations/accounts supported</t>
  </si>
  <si>
    <t>Desktop supports multiple servers</t>
  </si>
  <si>
    <t>Multiple workspaces supported by clients</t>
  </si>
  <si>
    <t>Multi-server UX</t>
  </si>
  <si>
    <t>Single hosted service UX</t>
  </si>
  <si>
    <t>Self-host/federation design</t>
  </si>
  <si>
    <t>Federation target is single account across servers</t>
  </si>
  <si>
    <t>Server selection</t>
  </si>
  <si>
    <t>Instance picker in Fermi</t>
  </si>
  <si>
    <t>ATProto identity/client model</t>
  </si>
  <si>
    <t>Nostr identity works across relays</t>
  </si>
  <si>
    <t>Identity key works across relays</t>
  </si>
  <si>
    <t>Accounts can export/import; messenger identity crosses home servers</t>
  </si>
  <si>
    <t>Multi-community/portal UX</t>
  </si>
  <si>
    <t>Self-host/node migration</t>
  </si>
  <si>
    <t>Lobby-based UX</t>
  </si>
  <si>
    <t>One home account accesses federated resources; no cross-home account switcher/migration workflow documented</t>
  </si>
  <si>
    <t>Migration Depth</t>
  </si>
  <si>
    <t>Bridge/interoperability exists; no automated Discord data migration/importer</t>
  </si>
  <si>
    <t>Discord Permission Import</t>
  </si>
  <si>
    <t>Planned/advertised</t>
  </si>
  <si>
    <t>Tool-dependent</t>
  </si>
  <si>
    <t>N/A/compatibility</t>
  </si>
  <si>
    <t>Yes/main permissions</t>
  </si>
  <si>
    <t>Discord Emoji / Sticker Import</t>
  </si>
  <si>
    <t>Discord Message History Import</t>
  </si>
  <si>
    <t>Possible with bridge/import tooling</t>
  </si>
  <si>
    <t>Discord Attachment Import</t>
  </si>
  <si>
    <t>Possible with tooling</t>
  </si>
  <si>
    <t>Account Portability</t>
  </si>
  <si>
    <t>Partial — ID is homeserver-scoped; migration is not universally seamless</t>
  </si>
  <si>
    <t>Certificates/bookmarks manually portable</t>
  </si>
  <si>
    <t>No cross-server account portability</t>
  </si>
  <si>
    <t>Server/operator migration</t>
  </si>
  <si>
    <t>Yes — keypair identity</t>
  </si>
  <si>
    <t>Export/self-host</t>
  </si>
  <si>
    <t>Community data/node migration</t>
  </si>
  <si>
    <t>Discord Webhook Compatibility</t>
  </si>
  <si>
    <t>Yes — accepts Discord webhook format</t>
  </si>
  <si>
    <t>No Discord webhook-format compatibility claim; Kaede has its own incoming webhook model</t>
  </si>
  <si>
    <t>Discord Server Template Import</t>
  </si>
  <si>
    <t>Third-party/tool-dependent</t>
  </si>
  <si>
    <t>No — API compatibility approach instead</t>
  </si>
  <si>
    <t>Template/import tools reported</t>
  </si>
  <si>
    <t>Bridge-based rather than template importer</t>
  </si>
  <si>
    <t>Yes — previewed structure import</t>
  </si>
  <si>
    <t>Yes — template</t>
  </si>
  <si>
    <t>Discord Channels Import</t>
  </si>
  <si>
    <t>Yes — via template structure import</t>
  </si>
  <si>
    <t>Discord Roles Import</t>
  </si>
  <si>
    <t>Yes — roles, colors, order</t>
  </si>
  <si>
    <t>Yes/main roles</t>
  </si>
  <si>
    <t>Yes — rules with Rift equivalents</t>
  </si>
  <si>
    <t>No / not documented</t>
  </si>
  <si>
    <t>User Data Export</t>
  </si>
  <si>
    <t>Client/homeserver-dependent</t>
  </si>
  <si>
    <t>Server logs/config only</t>
  </si>
  <si>
    <t>Yes — admin/bulk export</t>
  </si>
  <si>
    <t>Yes/admin tools</t>
  </si>
  <si>
    <t>Export coming soon</t>
  </si>
  <si>
    <t>Operator-controlled</t>
  </si>
  <si>
    <t>Operator-defined</t>
  </si>
  <si>
    <t>ATProto data portability</t>
  </si>
  <si>
    <t>Nostr events/keys are portable</t>
  </si>
  <si>
    <t>Yes — local archive export/import</t>
  </si>
  <si>
    <t>Yes — account export/import</t>
  </si>
  <si>
    <t>Export Format</t>
  </si>
  <si>
    <t>Attachment Export</t>
  </si>
  <si>
    <t>Yes in data package</t>
  </si>
  <si>
    <t>Yes/admin export</t>
  </si>
  <si>
    <t>Yes/admin backup/export</t>
  </si>
  <si>
    <t>Yes/admin backup</t>
  </si>
  <si>
    <t>Relay dependent</t>
  </si>
  <si>
    <t>Yes/local</t>
  </si>
  <si>
    <t>Native Bridge / Appservice Framework</t>
  </si>
  <si>
    <t>No general bridge framework</t>
  </si>
  <si>
    <t>No native appservice framework</t>
  </si>
  <si>
    <t>No public framework yet</t>
  </si>
  <si>
    <t>No federation bridge framework yet</t>
  </si>
  <si>
    <t>Apps/Bots can integrate external services</t>
  </si>
  <si>
    <t>Yes — Application Services/bridges are core ecosystem pattern</t>
  </si>
  <si>
    <t>Discord-compatible bot/client ecosystem rather than bridges</t>
  </si>
  <si>
    <t>Integrations/bots/webhooks</t>
  </si>
  <si>
    <t>Plugins/webhooks/integrations</t>
  </si>
  <si>
    <t>Apps/integrations + federation</t>
  </si>
  <si>
    <t>Discord-compatible bot/API surface</t>
  </si>
  <si>
    <t>Federation/bridge architecture in development</t>
  </si>
  <si>
    <t>API-first integrations</t>
  </si>
  <si>
    <t>Discord API compatibility</t>
  </si>
  <si>
    <t>Yes — bridge package</t>
  </si>
  <si>
    <t>Nostr/Concord relay framework</t>
  </si>
  <si>
    <t>Custom decentralized messenger/server protocol</t>
  </si>
  <si>
    <t>Webhooks</t>
  </si>
  <si>
    <t>Open API/webhooks</t>
  </si>
  <si>
    <t>Game APIs/integrations rather than bridges</t>
  </si>
  <si>
    <t>Yes — official Discord bridge repository</t>
  </si>
  <si>
    <t>Discord Bridge</t>
  </si>
  <si>
    <t>No live bridge</t>
  </si>
  <si>
    <t>Yes — matrix-appservice-discord / mautrix-discord</t>
  </si>
  <si>
    <t>Not live bridge; compatibility target</t>
  </si>
  <si>
    <t>No live Discord bridge</t>
  </si>
  <si>
    <t>Community Discord bridge possible</t>
  </si>
  <si>
    <t>Yes — bidirectional Discord bridge</t>
  </si>
  <si>
    <t>Yes — Discord bridge supported/self-hostable per subreddit reports</t>
  </si>
  <si>
    <t>Yes — official Discord bridge bot is included</t>
  </si>
  <si>
    <t>Matrix Bridge</t>
  </si>
  <si>
    <t>Third-party Matrix bridges can connect to Discord; not native</t>
  </si>
  <si>
    <t>Integration possible</t>
  </si>
  <si>
    <t>Federation uses Matrix-based technology but is not a generic Matrix client bridge</t>
  </si>
  <si>
    <t>Possible in theory</t>
  </si>
  <si>
    <t>IRC Bridge</t>
  </si>
  <si>
    <t>Third-party relays; not native</t>
  </si>
  <si>
    <t>Yes — IRC bridges</t>
  </si>
  <si>
    <t>Via integration possible</t>
  </si>
  <si>
    <t>IRC integration possible</t>
  </si>
  <si>
    <t>Nostr bridges possible</t>
  </si>
  <si>
    <t>Federation / Cross-Instance Interop</t>
  </si>
  <si>
    <t>Yes — native federation</t>
  </si>
  <si>
    <t>Yes — supported federation features</t>
  </si>
  <si>
    <t>Federation/self-hosting</t>
  </si>
  <si>
    <t>Planned federation</t>
  </si>
  <si>
    <t>ATProto federation</t>
  </si>
  <si>
    <t>Yes through relays/protocol</t>
  </si>
  <si>
    <t>Relay-based interoperability</t>
  </si>
  <si>
    <t>Yes — messenger cross-home-server</t>
  </si>
  <si>
    <t>Node/federation migration</t>
  </si>
  <si>
    <t>Yes — kaede-fed/1 federation across homes</t>
  </si>
  <si>
    <t>Client Portability</t>
  </si>
  <si>
    <t>Official clients only</t>
  </si>
  <si>
    <t>Limited — client custom-instance support is uneven</t>
  </si>
  <si>
    <t>Single first-party client/service</t>
  </si>
  <si>
    <t>Open clients/self-host but no federation</t>
  </si>
  <si>
    <t>First-party clients</t>
  </si>
  <si>
    <t>Yes — switch clients freely against same Matrix account</t>
  </si>
  <si>
    <t>Potentially compatible clients</t>
  </si>
  <si>
    <t>Yes across Mumble-compatible clients</t>
  </si>
  <si>
    <t>Official ecosystem</t>
  </si>
  <si>
    <t>Official clients can connect to custom servers</t>
  </si>
  <si>
    <t>Official clients</t>
  </si>
  <si>
    <t>Open-source clients possible</t>
  </si>
  <si>
    <t>Open-source clients</t>
  </si>
  <si>
    <t>Official client</t>
  </si>
  <si>
    <t>Yes — custom clients</t>
  </si>
  <si>
    <t>Potentially via open protocol</t>
  </si>
  <si>
    <t>Open client/protocol potential</t>
  </si>
  <si>
    <t>Single open-source client currently</t>
  </si>
  <si>
    <t>Open API/client</t>
  </si>
  <si>
    <t>Official clients share the same server APIs; third-party portability is possible but ecosystem is nascent</t>
  </si>
  <si>
    <t>Interop Notes</t>
  </si>
  <si>
    <t>Discord is the source platform.</t>
  </si>
  <si>
    <t>Self-hosting exists but migration/interop tooling is still limited.</t>
  </si>
  <si>
    <t>Migration features are still alpha/roadmap.</t>
  </si>
  <si>
    <t>Roadmap includes federation; do not mark it available yet.</t>
  </si>
  <si>
    <t>Discord template import is structural only; it does not move messages, users, files, emojis, bots or webhooks.</t>
  </si>
  <si>
    <t>Matrix is strongest here because interoperability is part of the protocol model, not a single-vendor feature.</t>
  </si>
  <si>
    <t>Designed to make Discord clients/bots easier to reuse on a separate service.</t>
  </si>
  <si>
    <t>Voice protocol interoperability rather than social-platform migration.</t>
  </si>
  <si>
    <t>Independent servers are portable operationally, not federated socially.</t>
  </si>
  <si>
    <t>Native importers focus on Slack, Mattermost and Rocket.Chat rather than Discord.</t>
  </si>
  <si>
    <t>Strong admin migration/export tools, but not federation.</t>
  </si>
  <si>
    <t>Federation is real but has explicit limitations such as no E2EE/calls in federated rooms.</t>
  </si>
  <si>
    <t>Importer handles structural server migration, not message history.</t>
  </si>
  <si>
    <t>No built-in Discord migration/federation verified.</t>
  </si>
  <si>
    <t>Migration features exist, but exact data coverage is not comprehensively documented.</t>
  </si>
  <si>
    <t>Importer handles channels/categories/roles/permissions/emoji/bans/icon.</t>
  </si>
  <si>
    <t>Open protocol direction should allow bridges, but current production interop is limited.</t>
  </si>
  <si>
    <t>Extensible API/integration focus rather than federation.</t>
  </si>
  <si>
    <t>No migration/interop framework verified.</t>
  </si>
  <si>
    <t>Self-host control rather than cross-platform bridging.</t>
  </si>
  <si>
    <t>API compatibility is currently more mature than federation.</t>
  </si>
  <si>
    <t>Discord bridge is first-class in the repo.</t>
  </si>
  <si>
    <t>Interop is architectural rather than tied to one central account service.</t>
  </si>
  <si>
    <t>Local-first portability is stronger than migration from Discord.</t>
  </si>
  <si>
    <t>Discord bridge is experimental/WIP; native cross-instance messenger is more mature.</t>
  </si>
  <si>
    <t>No migration/bridge framework verified.</t>
  </si>
  <si>
    <t>Discord template importer does not move messages or members.</t>
  </si>
  <si>
    <t>No migration/federation framework verified.</t>
  </si>
  <si>
    <t>Built-in importer is a major onboarding feature.</t>
  </si>
  <si>
    <t>No Discord importer because product model intentionally differs.</t>
  </si>
  <si>
    <t>Discord bridge copies live messages between paired plaintext channels; it is not a history importer.</t>
  </si>
  <si>
    <t>Additional Migration Objects</t>
  </si>
  <si>
    <t>Discord Categories Import</t>
  </si>
  <si>
    <t>Yes — Discord template import preserves categories/order</t>
  </si>
  <si>
    <t>Discord Forum Tags Import</t>
  </si>
  <si>
    <t>Yes — template import includes forum tags</t>
  </si>
  <si>
    <t>Discord Webhook Format Compatibility</t>
  </si>
  <si>
    <t>Yes — incoming webhooks accept Discord format</t>
  </si>
  <si>
    <t>Self-Host to Hosted Migration Tooling</t>
  </si>
  <si>
    <t>No hosted↔self-host migration tooling documented</t>
  </si>
  <si>
    <t>Encryption in Transit (TLS 1.3)</t>
  </si>
  <si>
    <t>TLS in transit</t>
  </si>
  <si>
    <t>Encrypted in transit; at rest for stored content</t>
  </si>
  <si>
    <t>HTTPS/TLS transport; implementation-dependent TLS configuration</t>
  </si>
  <si>
    <t>TLS when correctly deployed; operator-controlled</t>
  </si>
  <si>
    <t>TLS control channel + encrypted voice transport</t>
  </si>
  <si>
    <t>Encrypted transport</t>
  </si>
  <si>
    <t>TLS configurable; enterprise deployment-controlled</t>
  </si>
  <si>
    <t>TLS in transit configurable</t>
  </si>
  <si>
    <t>TLS/encrypted connections</t>
  </si>
  <si>
    <t>TLS</t>
  </si>
  <si>
    <t>TLS when deployed</t>
  </si>
  <si>
    <t>TLS + Nostr relay transport</t>
  </si>
  <si>
    <t>TLS relays + end-to-end crypto</t>
  </si>
  <si>
    <t>TLS required for network access</t>
  </si>
  <si>
    <t>Yes — HTTPS/TLS required for production</t>
  </si>
  <si>
    <t>E2EE 1:1 DMs</t>
  </si>
  <si>
    <t>Yes — optional room/DM MLS 1.0</t>
  </si>
  <si>
    <t>E2EE Group DMs</t>
  </si>
  <si>
    <t>No for text Group DMs; GDM voice/video calls are E2EE</t>
  </si>
  <si>
    <t>Supported in encrypted rooms; default client behavior varies</t>
  </si>
  <si>
    <t>E2EE support exists; exact group behavior/version-dependent</t>
  </si>
  <si>
    <t>No — group chats / Splinters are encrypted at rest, not E2EE</t>
  </si>
  <si>
    <t>E2EE Channels / Rooms</t>
  </si>
  <si>
    <t>E2EE Voice &amp; Video</t>
  </si>
  <si>
    <t>Yes by default for voice/video calls and Go Live; Stage channels excepted</t>
  </si>
  <si>
    <t>No currently; voice/video E2EE in development</t>
  </si>
  <si>
    <t>Calls transmitted in real time; E2EE not claimed in privacy policy</t>
  </si>
  <si>
    <t>MatrixRTC supports E2EE; client/media implementation matters</t>
  </si>
  <si>
    <t>Voice encrypted in transit; not E2EE against server operator</t>
  </si>
  <si>
    <t>External provider-dependent</t>
  </si>
  <si>
    <t>Call-provider/deployment-dependent</t>
  </si>
  <si>
    <t>Voice E2EE claimed</t>
  </si>
  <si>
    <t>Calls use encrypted connections; E2EE not claimed</t>
  </si>
  <si>
    <t>Olm+MLS+SFrame stated for media/messages</t>
  </si>
  <si>
    <t>Yes — direct voice/video/screen calls are documented as E2EE</t>
  </si>
  <si>
    <t>Yes — MLS policy also protects supported LiveKit microphone/camera/screen/screen-audio frames</t>
  </si>
  <si>
    <t>Mandatory Signup Credentials (Phone / Email / Keypair)</t>
  </si>
  <si>
    <t>Official instance requires username/password/email; self-host can disable email</t>
  </si>
  <si>
    <t>Metadata Retention Policy</t>
  </si>
  <si>
    <t>Generally retained while an account is active/as needed; some data has fixed legal/safety periods; inactive accounts may be deleted after 2 years</t>
  </si>
  <si>
    <t>Published retention policy</t>
  </si>
  <si>
    <t>Server/operator-controlled</t>
  </si>
  <si>
    <t>Operator/service-dependent</t>
  </si>
  <si>
    <t>Hosted/self-host policy-dependent</t>
  </si>
  <si>
    <t>Deployment/admin controlled</t>
  </si>
  <si>
    <t>Admin/deployment policy</t>
  </si>
  <si>
    <t>Published privacy policy</t>
  </si>
  <si>
    <t>Operator controlled</t>
  </si>
  <si>
    <t>ATProto/provider dependent</t>
  </si>
  <si>
    <t>Relay stores encrypted events</t>
  </si>
  <si>
    <t>Data stored locally; relay stores no persistent content</t>
  </si>
  <si>
    <t>Operator controlled; messenger relay stores encrypted messages temporarily</t>
  </si>
  <si>
    <t>Deletion stated as hard delete</t>
  </si>
  <si>
    <t>Message retention controls + export</t>
  </si>
  <si>
    <t>Developer reports data retained until user deletes/requests deletion; operators have retention/purge jobs and configurable policies</t>
  </si>
  <si>
    <t>IP Address Logging Policy</t>
  </si>
  <si>
    <t>Yes — IP address is collected as device/use information</t>
  </si>
  <si>
    <t>IP/network data processed; approximate location derived</t>
  </si>
  <si>
    <t>Yes — device/network info incl. IP collected</t>
  </si>
  <si>
    <t>Homeserver/operator sees IP/network metadata; exact logging is operator-dependent</t>
  </si>
  <si>
    <t>Hosted/operator dependent</t>
  </si>
  <si>
    <t>Operator/service dependent</t>
  </si>
  <si>
    <t>Provider dependent</t>
  </si>
  <si>
    <t>Relay sees metadata; content encrypted</t>
  </si>
  <si>
    <t>Official relay claims no IP logging; self-host operator could log metadata</t>
  </si>
  <si>
    <t>Operator controlled; official messenger claims privacy model</t>
  </si>
  <si>
    <t>Not publicly specified</t>
  </si>
  <si>
    <t>EXIF Scrubbing on Uploads</t>
  </si>
  <si>
    <t>Server Jurisdiction / Location</t>
  </si>
  <si>
    <t>Hosted service: Europe-oriented; self-host location is operator-controlled</t>
  </si>
  <si>
    <t>Fenrid LLC (New Mexico, US); global infrastructure</t>
  </si>
  <si>
    <t>Fluxer Platform AB (Sweden); most stored data hosted in New Jersey, US</t>
  </si>
  <si>
    <t>Root Communications, Inc., United States</t>
  </si>
  <si>
    <t>Federated — jurisdiction/location depends on homeserver(s) participating in a room</t>
  </si>
  <si>
    <t>Self-hosted — operator-selected jurisdiction</t>
  </si>
  <si>
    <t>Self-hosted/hosted — jurisdiction depends operator/provider</t>
  </si>
  <si>
    <t>Cloud jurisdiction/provider; self-host operator-controlled</t>
  </si>
  <si>
    <t>Cloud or self-host jurisdiction</t>
  </si>
  <si>
    <t>Hosted + self-host operator dependent</t>
  </si>
  <si>
    <t>Regional data storage by user/community region</t>
  </si>
  <si>
    <t>Federated/self-host operator-dependent</t>
  </si>
  <si>
    <t>Hosted/self-host dependent</t>
  </si>
  <si>
    <t>Self-host jurisdiction</t>
  </si>
  <si>
    <t>Self-host/operator jurisdiction</t>
  </si>
  <si>
    <t>ATProto/PDS-dependent</t>
  </si>
  <si>
    <t>Relay/operator/global</t>
  </si>
  <si>
    <t>Local-first; relay jurisdiction replaceable</t>
  </si>
  <si>
    <t>Self-host operator controlled</t>
  </si>
  <si>
    <t>Brazil (hosted service); self-host operator-controlled</t>
  </si>
  <si>
    <t>Official deployment uses OVH core, Backblaze object storage and Hivelocity LiveKit capacity serving US-East/South America (developer report)</t>
  </si>
  <si>
    <t>Privacy Operations</t>
  </si>
  <si>
    <t>Encryption at Rest?</t>
  </si>
  <si>
    <t>Partial — selected secrets/TOTP/signing material are encrypted, but universal plaintext-message database-at-rest encryption is not claimed</t>
  </si>
  <si>
    <t>Can Service / Server Read Text?</t>
  </si>
  <si>
    <t>Yes for text</t>
  </si>
  <si>
    <t>Yes for normal text</t>
  </si>
  <si>
    <t>No for encrypted DM plaintext in normal flow; yes for community channels</t>
  </si>
  <si>
    <t>Yes for stored text</t>
  </si>
  <si>
    <t>Not for correctly E2EE-encrypted events; homeserver still stores ciphertext and metadata</t>
  </si>
  <si>
    <t>Yes unless operator adds extra encryption</t>
  </si>
  <si>
    <t>N/A for persistent chat; server handles voice routing</t>
  </si>
  <si>
    <t>Not for local E2EE message bodies when functioning; server still sees metadata</t>
  </si>
  <si>
    <t>Yes for text on hosted/self-host server</t>
  </si>
  <si>
    <t>Yes for hosted text</t>
  </si>
  <si>
    <t>Depends encrypted content type</t>
  </si>
  <si>
    <t>Yes for unencrypted content</t>
  </si>
  <si>
    <t>Yes for current server-readable content</t>
  </si>
  <si>
    <t>Server operator may access text unless separate E2EE exists</t>
  </si>
  <si>
    <t>Potentially visible to hosting services</t>
  </si>
  <si>
    <t>No for encrypted message bodies</t>
  </si>
  <si>
    <t>No for private plaintext</t>
  </si>
  <si>
    <t>Server can read normal channel text; encrypted DMs are ciphertext</t>
  </si>
  <si>
    <t>Cannot read E2EE DM plaintext; can process Shard/community plaintext</t>
  </si>
  <si>
    <t>Plaintext rooms: yes. Active MLS rooms: no message/file/media plaintext is available to honest-but-curious servers.</t>
  </si>
  <si>
    <t>IP Address Collected?</t>
  </si>
  <si>
    <t>IP Retention Window</t>
  </si>
  <si>
    <t>48 hours / HMAC fingerprint</t>
  </si>
  <si>
    <t>Data Region Selectable?</t>
  </si>
  <si>
    <t>Operator-selected</t>
  </si>
  <si>
    <t>Self-host: operator chooses region/providers; official hosted service does not document per-user region selection</t>
  </si>
  <si>
    <t>Text 1:1 DM E2EE</t>
  </si>
  <si>
    <t>Group DM E2EE</t>
  </si>
  <si>
    <t>No claim</t>
  </si>
  <si>
    <t>Supported in encrypted rooms</t>
  </si>
  <si>
    <t>Available with limitations/version-dependent</t>
  </si>
  <si>
    <t>No — Splinters/group chats are server-readable after decryption</t>
  </si>
  <si>
    <t>Community / Channel Text E2EE</t>
  </si>
  <si>
    <t>Available for encrypted rooms; federation has limitations</t>
  </si>
  <si>
    <t>Yes for private channels; public channels are intentionally plaintext/public</t>
  </si>
  <si>
    <t>No for normal server channels</t>
  </si>
  <si>
    <t>No — community channels are encrypted at rest, not E2EE</t>
  </si>
  <si>
    <t>Voice E2EE</t>
  </si>
  <si>
    <t>Yes by default for calls/Go Live via DAVE</t>
  </si>
  <si>
    <t>No E2EE claim in privacy policy</t>
  </si>
  <si>
    <t>Supported by MatrixRTC/capable clients</t>
  </si>
  <si>
    <t>No — media is encrypted to server, not E2EE against server operator</t>
  </si>
  <si>
    <t>Not generally E2EE against server; deployment media security applies</t>
  </si>
  <si>
    <t>Yes — voice claimed E2EE</t>
  </si>
  <si>
    <t>Encrypted transport; E2EE not claimed</t>
  </si>
  <si>
    <t>Yes/SFrame claim</t>
  </si>
  <si>
    <t>Yes — direct calls</t>
  </si>
  <si>
    <t>Video E2EE</t>
  </si>
  <si>
    <t>Same</t>
  </si>
  <si>
    <t>Screen Share E2EE</t>
  </si>
  <si>
    <t>Yes by default for Go Live; Stage exception</t>
  </si>
  <si>
    <t>Yes — direct screen sharing/calls</t>
  </si>
  <si>
    <t>Encryption Default / Optional</t>
  </si>
  <si>
    <t>Mandatory for supported voice/video; text not E2EE</t>
  </si>
  <si>
    <t>DM encryption is intended/default; media status is evolving</t>
  </si>
  <si>
    <t>Not E2EE as of 2026-09-13 privacy policy</t>
  </si>
  <si>
    <t>Transport encryption only</t>
  </si>
  <si>
    <t>Optional at protocol level; many clients default private chats to encrypted</t>
  </si>
  <si>
    <t>No platform-wide E2EE guarantee</t>
  </si>
  <si>
    <t>Transport encryption</t>
  </si>
  <si>
    <t>Server-stored chat, no native E2EE</t>
  </si>
  <si>
    <t>Server-side enterprise collaboration model</t>
  </si>
  <si>
    <t>Optional/room-dependent</t>
  </si>
  <si>
    <t>Voice only / text not claimed E2EE</t>
  </si>
  <si>
    <t>Mixed/eligible content</t>
  </si>
  <si>
    <t>Per-conversation opt-in planned; default unencrypted</t>
  </si>
  <si>
    <t>Claimed zero-knowledge/E2EE</t>
  </si>
  <si>
    <t>E2EE WIP; TLS today</t>
  </si>
  <si>
    <t>Transport/self-host privacy model</t>
  </si>
  <si>
    <t>No E2EE verified</t>
  </si>
  <si>
    <t>E2EE by default for communities</t>
  </si>
  <si>
    <t>Mandatory for private communication; public channels intentionally not</t>
  </si>
  <si>
    <t>Messenger mandatory; server DM encryption optional</t>
  </si>
  <si>
    <t>DM E2EE is default; Shard text is not E2EE</t>
  </si>
  <si>
    <t>Transport/server-side</t>
  </si>
  <si>
    <t>Optional, room-level; activation is fail-closed and irreversible for future content once active</t>
  </si>
  <si>
    <t>Can Hosted Server / Operator Read Text?</t>
  </si>
  <si>
    <t>No for E2EE DM plaintext; yes for Shard/community channel plaintext</t>
  </si>
  <si>
    <t>Key Ownership / Storage</t>
  </si>
  <si>
    <t>DAVE keys negotiated by clients; text stored server-side</t>
  </si>
  <si>
    <t>Passphrase-derived account key + per-message encryption keys; server stores public key/ciphertext</t>
  </si>
  <si>
    <t>Server-side storage; transport/at-rest encryption</t>
  </si>
  <si>
    <t>Server-managed</t>
  </si>
  <si>
    <t>Client-held device keys; cross-signing/key backup implementations defined by Matrix</t>
  </si>
  <si>
    <t>TLS/certificate/server session model</t>
  </si>
  <si>
    <t>Server-side</t>
  </si>
  <si>
    <t>Server-side / deployment-controlled</t>
  </si>
  <si>
    <t>Client keys for E2EE; exact implementation/version-dependent</t>
  </si>
  <si>
    <t>Server/operator</t>
  </si>
  <si>
    <t>ATProto/PDS</t>
  </si>
  <si>
    <t>User-held Nostr keys</t>
  </si>
  <si>
    <t>User-held Ed25519/device keys</t>
  </si>
  <si>
    <t>Device-generated key</t>
  </si>
  <si>
    <t>User device / Rift Key roots the encryption keys</t>
  </si>
  <si>
    <t>Client-held MLS identity/vault; server stores public credentials and encrypted portable state but not MLS group secrets/private keys</t>
  </si>
  <si>
    <t>Forward Secrecy / Ratcheting</t>
  </si>
  <si>
    <t>DAVE design; exact ratchet properties depend spec</t>
  </si>
  <si>
    <t>Not Signal Double Ratchet; founder explicitly says mature Signal-level forward secrecy is not claimed</t>
  </si>
  <si>
    <t>N/A currently</t>
  </si>
  <si>
    <t>Megolm/Olm-era designs and newer crypto work; properties vary by room/media protocol</t>
  </si>
  <si>
    <t>Version-dependent</t>
  </si>
  <si>
    <t>Olm/MLS/SFrame design</t>
  </si>
  <si>
    <t>Yes — X3DH / Double Ratchet design</t>
  </si>
  <si>
    <t>Yes — MLS 1.0 epochs/rekeys; membership/device changes force rekey before writes resume</t>
  </si>
  <si>
    <t>Multi-Device E2EE</t>
  </si>
  <si>
    <t>Yes for DAVE-compatible clients</t>
  </si>
  <si>
    <t>Yes — designed for multi-device keys</t>
  </si>
  <si>
    <t>Multi-device supported</t>
  </si>
  <si>
    <t>Yes — multi-device sync described</t>
  </si>
  <si>
    <t>Yes — portable encrypted account state supports multiple signed-in clients with serialized MLS state updates</t>
  </si>
  <si>
    <t>Metadata Protected by E2EE?</t>
  </si>
  <si>
    <t>No — metadata remains visible</t>
  </si>
  <si>
    <t>No — delivery/relationship metadata remains</t>
  </si>
  <si>
    <t>No — homeserver/federation metadata remains visible</t>
  </si>
  <si>
    <t>No — relay metadata remains</t>
  </si>
  <si>
    <t>No — relay metadata/timing can exist</t>
  </si>
  <si>
    <t>No — home server sees routing metadata</t>
  </si>
  <si>
    <t>No — metadata/routing information is not hidden by E2EE</t>
  </si>
  <si>
    <t>No — routing metadata, participants, timestamps, sizes, delivery activity and track kinds remain visible</t>
  </si>
  <si>
    <t>Public Cryptographic Design</t>
  </si>
  <si>
    <t>Yes — DAVE design public</t>
  </si>
  <si>
    <t>No public text-E2EE design verified</t>
  </si>
  <si>
    <t>Yes — founder publishes design boundaries/primitives</t>
  </si>
  <si>
    <t>E2EE roadmap/design discussion public, but not deployed as policy baseline</t>
  </si>
  <si>
    <t>No public crypto protocol</t>
  </si>
  <si>
    <t>Yes — open specification/MSC process</t>
  </si>
  <si>
    <t>No mature platform-wide crypto design verified</t>
  </si>
  <si>
    <t>Public protocol/source</t>
  </si>
  <si>
    <t>Limited public details</t>
  </si>
  <si>
    <t>Open source but no E2EE protocol</t>
  </si>
  <si>
    <t>Open-source implementation for core messaging</t>
  </si>
  <si>
    <t>Public implementation/docs</t>
  </si>
  <si>
    <t>No public cryptographic design found</t>
  </si>
  <si>
    <t>No public E2EE design</t>
  </si>
  <si>
    <t>No public mature E2EE design verified</t>
  </si>
  <si>
    <t>No public crypto design</t>
  </si>
  <si>
    <t>Open protocol/code</t>
  </si>
  <si>
    <t>Whitepaper/source public</t>
  </si>
  <si>
    <t>Public docs/source</t>
  </si>
  <si>
    <t>Yes — protocol model publicly described</t>
  </si>
  <si>
    <t>No public E2EE protocol</t>
  </si>
  <si>
    <t>Yes — public E2EE contract documents threat model, MLS suite and rollout gates</t>
  </si>
  <si>
    <t>Independent Cryptographic Audit</t>
  </si>
  <si>
    <t>Trail of Bits reviews of DAVE (2024/2025)</t>
  </si>
  <si>
    <t>No comprehensive crypto audit verified</t>
  </si>
  <si>
    <t>No independent audit published</t>
  </si>
  <si>
    <t>No comprehensive audit verified</t>
  </si>
  <si>
    <t>No public audit verified</t>
  </si>
  <si>
    <t>Multiple implementation/protocol audits; no single universal client audit</t>
  </si>
  <si>
    <t>Security certifications/audits vary by offering</t>
  </si>
  <si>
    <t>No audit verified</t>
  </si>
  <si>
    <t>No independent audit verified</t>
  </si>
  <si>
    <t>No independent audit yet; Rift says audits are planned</t>
  </si>
  <si>
    <t>No independent cryptographic audit published; docs list external review as a remaining release gate</t>
  </si>
  <si>
    <t>Encryption Scope Notes</t>
  </si>
  <si>
    <t>Discord text chat remains server-readable even though voice/video is now E2EE.</t>
  </si>
  <si>
    <t>Do not infer LiveKit's E2EE capability means Stoat currently enables E2EE.</t>
  </si>
  <si>
    <t>Fenrid itself cautions that its home-grown design is not equivalent to Signal's mature ratchet protocol.</t>
  </si>
  <si>
    <t>Latest privacy policy explicitly says nothing on Fluxer is E2EE yet; voice/video E2EE is in development.</t>
  </si>
  <si>
    <t>Privacy policy says calls are real-time and not stored, but does not claim end-to-end encryption.</t>
  </si>
  <si>
    <t>Matrix supports E2EE, but whether a room is encrypted and how UX works is client/homeserver-dependent.</t>
  </si>
  <si>
    <t>Self-hosting changes who you trust; it does not automatically create end-to-end encryption.</t>
  </si>
  <si>
    <t>Strong encrypted transport is not the same as E2EE from client to client.</t>
  </si>
  <si>
    <t>Zulip prioritizes searchable server-side team history rather than E2EE chat.</t>
  </si>
  <si>
    <t>Self-hosting can keep plaintext under your organization's control, but is not E2EE.</t>
  </si>
  <si>
    <t>Federation documentation explicitly says E2EE is not supported across federated servers.</t>
  </si>
  <si>
    <t>Voice E2EE is claimed; do not extend that claim to text messages.</t>
  </si>
  <si>
    <t>No default E2EE was verified.</t>
  </si>
  <si>
    <t>Privacy policy says calls use encrypted connections; that is not the same as E2EE.</t>
  </si>
  <si>
    <t>Treat E2EE claims as feature-scope specific, not universal.</t>
  </si>
  <si>
    <t>Developer states E2EE is per-conversation opt-in and default is currently unencrypted.</t>
  </si>
  <si>
    <t>Marketing/repo claims E2EE; exact room-by-room defaults should be verified before high-stakes use.</t>
  </si>
  <si>
    <t>Do not treat privacy-first marketing as proof of deployed E2EE.</t>
  </si>
  <si>
    <t>Self-hosting/data sovereignty is the main privacy control, not verified E2EE.</t>
  </si>
  <si>
    <t>Project discussions explicitly say E2EE is not currently implemented.</t>
  </si>
  <si>
    <t>Privacy inherits ATProto/server design rather than E2EE.</t>
  </si>
  <si>
    <t>Encryption depends on which DCTS messaging mode is used.</t>
  </si>
  <si>
    <t>DM text and direct calls are E2EE; Shard/community text and Splinters are not.</t>
  </si>
  <si>
    <t>No public E2EE design verified.</t>
  </si>
  <si>
    <t>Security details are sparse; do not infer E2EE from WebRTC/LiveKit.</t>
  </si>
  <si>
    <t>Privacy focus is data policy/open source/self-hosting rather than E2EE messaging.</t>
  </si>
  <si>
    <t>Security model is typical hosted app; no E2EE claim verified.</t>
  </si>
  <si>
    <t>MLS 1.0 RFC 9420; mandatory suite MLS_128_DHKEMX25519_AES128GCM_SHA256_Ed25519</t>
  </si>
  <si>
    <t>Key Management &amp; Encrypted Content</t>
  </si>
  <si>
    <t>Encrypted Attachments / Media with E2EE</t>
  </si>
  <si>
    <t>Voice/video media E2EE; text attachments not DM-text E2EE</t>
  </si>
  <si>
    <t>Yes in encrypted rooms (client-dependent)</t>
  </si>
  <si>
    <t>Yes — encrypted chunked AEAD attachment format; filenames/MIME/previews stay in encrypted manifest</t>
  </si>
  <si>
    <t>Device Verification / Trust UX</t>
  </si>
  <si>
    <t>DAVE verification mechanisms exist for calls</t>
  </si>
  <si>
    <t>Yes — client-dependent cross-signing/device verification</t>
  </si>
  <si>
    <t>Yes — room safety number comparison is the identity-verification step</t>
  </si>
  <si>
    <t>Encrypted Backup / Key Recovery</t>
  </si>
  <si>
    <t>N/A for non-E2EE text</t>
  </si>
  <si>
    <t>Client/provider dependent</t>
  </si>
  <si>
    <t>Yes — encrypted recovery/vault flow exists; synchronized plaintext cache is bounded to newest 2,000 messages or 8 MiB</t>
  </si>
  <si>
    <t>Server-Side Search Works on E2EE Text</t>
  </si>
  <si>
    <t>N/A — text not E2EE</t>
  </si>
  <si>
    <t>Generally limited/client-side depending implementation</t>
  </si>
  <si>
    <t>No — server-side plaintext search is disabled for E2EE channels</t>
  </si>
  <si>
    <t>Transport &amp; Storage</t>
  </si>
  <si>
    <t>TLS in Transit?</t>
  </si>
  <si>
    <t>TLS 1.3 Explicitly Documented?</t>
  </si>
  <si>
    <t>TLS required; TLS 1.3 is not explicitly pinned in the reviewed Kaede docs</t>
  </si>
  <si>
    <t>Text E2EE</t>
  </si>
  <si>
    <t>1:1 DM Text E2EE?</t>
  </si>
  <si>
    <t>Group DM Text E2EE?</t>
  </si>
  <si>
    <t>No — Splinters encrypted at rest, not E2EE</t>
  </si>
  <si>
    <t>Private Channel Text E2EE?</t>
  </si>
  <si>
    <t>No — Shard/community channels encrypted at rest</t>
  </si>
  <si>
    <t>Public Channel Text E2EE?</t>
  </si>
  <si>
    <t>Optional / room-dependent</t>
  </si>
  <si>
    <t>E2EE Default or Optional</t>
  </si>
  <si>
    <t>Default for DMs/direct calls; not used for Shard channels</t>
  </si>
  <si>
    <t>Media E2EE</t>
  </si>
  <si>
    <t>Voice E2EE?</t>
  </si>
  <si>
    <t>Video E2EE?</t>
  </si>
  <si>
    <t>Screen Share E2EE?</t>
  </si>
  <si>
    <t>Key &amp; Crypto Model</t>
  </si>
  <si>
    <t>Client-Held Keys?</t>
  </si>
  <si>
    <t>Yes — Rift Key/device key model</t>
  </si>
  <si>
    <t>Multi-Device E2EE?</t>
  </si>
  <si>
    <t>Forward Secrecy / Ratcheting?</t>
  </si>
  <si>
    <t>Yes — X3DH / Double Ratchet</t>
  </si>
  <si>
    <t>Metadata Hidden by E2EE?</t>
  </si>
  <si>
    <t>Public Crypto Design?</t>
  </si>
  <si>
    <t>Yes — protocol model described publicly</t>
  </si>
  <si>
    <t>Independent Crypto Audit?</t>
  </si>
  <si>
    <t>No — audits listed as future work</t>
  </si>
  <si>
    <t>Voice Stored?</t>
  </si>
  <si>
    <t>Generally no</t>
  </si>
  <si>
    <t>No native recording documented</t>
  </si>
  <si>
    <t>Video Stored?</t>
  </si>
  <si>
    <t>Message Retention Default</t>
  </si>
  <si>
    <t>Developer reports message/content retention until user deletion/request; operator jobs enforce configured cleanup</t>
  </si>
  <si>
    <t>Deleted Message Retention</t>
  </si>
  <si>
    <t>Immediate hard delete claimed</t>
  </si>
  <si>
    <t>No single public deleted-message retention interval located</t>
  </si>
  <si>
    <t>Security / Privacy Notes</t>
  </si>
  <si>
    <t>DM text uses client-side Signal-style X3DH/Double Ratchet (AES-256-GCM); Shard messages are encrypted at rest but not E2EE.</t>
  </si>
  <si>
    <t>https://github.com/CookieNom/KaedeChat/blob/main/docs/e2ee.md</t>
  </si>
  <si>
    <t>Account &amp; Platform Security</t>
  </si>
  <si>
    <t>2FA / TOTP Available?</t>
  </si>
  <si>
    <t>Yes/likely — architecture explicitly references protected TOTP material</t>
  </si>
  <si>
    <t>SSO / Enterprise Identity?</t>
  </si>
  <si>
    <t>No enterprise SSO documented</t>
  </si>
  <si>
    <t>Public Vulnerability Disclosure Policy?</t>
  </si>
  <si>
    <t>No public vulnerability disclosure policy located</t>
  </si>
  <si>
    <t>Security Advisories Published?</t>
  </si>
  <si>
    <t>No public security-advisory feed located</t>
  </si>
  <si>
    <t>Known Past CVEs / Exploits</t>
  </si>
  <si>
    <t>Implementation-specific; protocol/clients/servers have had CVEs</t>
  </si>
  <si>
    <t>Public CVEs/advisories exist over long project history</t>
  </si>
  <si>
    <t>Public CVEs/security advisories</t>
  </si>
  <si>
    <t>None publicly known/reported by developer</t>
  </si>
  <si>
    <t>Data Breach / Leak History</t>
  </si>
  <si>
    <t>Yes — 2025 third-party customer-support vendor incident; ~70,000 users may have had government-ID photos exposed; core Discord service was not breached</t>
  </si>
  <si>
    <t>No major public hosted-service breach verified</t>
  </si>
  <si>
    <t>No public breach verified</t>
  </si>
  <si>
    <t>No major public breach verified</t>
  </si>
  <si>
    <t>Incidents are provider/implementation-specific</t>
  </si>
  <si>
    <t>No central hosted data breach model</t>
  </si>
  <si>
    <t>No recent major breach verified here</t>
  </si>
  <si>
    <t>No major current breach verified</t>
  </si>
  <si>
    <t>Past vulnerabilities; major breach of vendor service not verified</t>
  </si>
  <si>
    <t>Independent Security Audits (Public / Private / None)</t>
  </si>
  <si>
    <t>Public targeted audits of DAVE E2EE; no comprehensive public whole-platform audit verified</t>
  </si>
  <si>
    <t>No comprehensive independent audit verified</t>
  </si>
  <si>
    <t>Multiple independent audits across implementations; no single Matrix-wide audit</t>
  </si>
  <si>
    <t>Security audits/certifications vary by offering</t>
  </si>
  <si>
    <t>No comprehensive independent security audit verified</t>
  </si>
  <si>
    <t>None published</t>
  </si>
  <si>
    <t>Auditing Firm &amp; Date of Last Audit</t>
  </si>
  <si>
    <t>Trail of Bits — DAVE design/implementation review (2024) and follow-up audit (2025)</t>
  </si>
  <si>
    <t>Implementation-specific</t>
  </si>
  <si>
    <t>Active Bug Bounty Program</t>
  </si>
  <si>
    <t>Yes — private Bugcrowd program with cash bounties; DAVE is in scope</t>
  </si>
  <si>
    <t>No public bug bounty verified</t>
  </si>
  <si>
    <t>No formal bounty verified</t>
  </si>
  <si>
    <t>Security disclosure/bounty program</t>
  </si>
  <si>
    <t>No public bug bounty located</t>
  </si>
  <si>
    <t>Vulnerability Disclosure Responsiveness</t>
  </si>
  <si>
    <t>Reports are usually answered within ~24 hours, per Discord's security page</t>
  </si>
  <si>
    <t>Public issues/security advisories</t>
  </si>
  <si>
    <t>Public security/privacy documentation</t>
  </si>
  <si>
    <t>Public security advisories across ecosystem</t>
  </si>
  <si>
    <t>Public GitHub</t>
  </si>
  <si>
    <t>Public GitHub/security channels</t>
  </si>
  <si>
    <t>Public security process</t>
  </si>
  <si>
    <t>Public advisories/responsive security process</t>
  </si>
  <si>
    <t>Public security advisories</t>
  </si>
  <si>
    <t>Developer reports a security-researcher friend has privately reported bugs before production; no formal public disclosure program located</t>
  </si>
  <si>
    <t>Security Program Maturity</t>
  </si>
  <si>
    <t>Public Security Advisory / CVE Process</t>
  </si>
  <si>
    <t>No public CVE/advisory process located</t>
  </si>
  <si>
    <t>Independent Penetration Tests Published</t>
  </si>
  <si>
    <t>Security/audit details vary; DAVE cryptographic audits published</t>
  </si>
  <si>
    <t>Release / Artifact Signing Documented</t>
  </si>
  <si>
    <t>No release-signing documentation located</t>
  </si>
  <si>
    <t>SBOM / Supply-Chain Transparency</t>
  </si>
  <si>
    <t>No SBOM/public supply-chain inventory located</t>
  </si>
  <si>
    <t>Native AutoMod Engine</t>
  </si>
  <si>
    <t>Yes — AutoMod</t>
  </si>
  <si>
    <t>Partial/native moderation controls</t>
  </si>
  <si>
    <t>Native moderation</t>
  </si>
  <si>
    <t>Yes — Moderation App + native controls</t>
  </si>
  <si>
    <t>Protocol supports room permissions/power levels; tooling varies by client/server</t>
  </si>
  <si>
    <t>Discord-compatible moderation target</t>
  </si>
  <si>
    <t>ACLs/permissions rather than AutoMod</t>
  </si>
  <si>
    <t>Permissions/admin tools</t>
  </si>
  <si>
    <t>Moderation/admin controls; no Discord-style AutoMod core</t>
  </si>
  <si>
    <t>Moderation/admin/retention/compliance tools</t>
  </si>
  <si>
    <t>Moderation/admin tools</t>
  </si>
  <si>
    <t>Server/operator moderation</t>
  </si>
  <si>
    <t>Yes — built-in AutoMod</t>
  </si>
  <si>
    <t>Built-in automod</t>
  </si>
  <si>
    <t>Yes — developer reports native AutoMod</t>
  </si>
  <si>
    <t>Custom Keyword &amp; Regex Blocklists</t>
  </si>
  <si>
    <t>Yes — custom keywords + Rust-flavor regex</t>
  </si>
  <si>
    <t>Client/server/bot-dependent</t>
  </si>
  <si>
    <t>No text AutoMod focus</t>
  </si>
  <si>
    <t>Advanced anti-spam advertised</t>
  </si>
  <si>
    <t>Blocklists/automod</t>
  </si>
  <si>
    <t>AutoMod exists, but exact keyword/regex rule types were not fully documented in reviewed public docs</t>
  </si>
  <si>
    <t>Anti-Spam &amp; Rate Limiting</t>
  </si>
  <si>
    <t>Yes — AutoMod spam filter, platform/API rate limits, verification levels, and slowmode</t>
  </si>
  <si>
    <t>Rate limiting + moderation controls</t>
  </si>
  <si>
    <t>Yes / planned native</t>
  </si>
  <si>
    <t>Rate limits + moderation tools</t>
  </si>
  <si>
    <t>Yes — spam rules</t>
  </si>
  <si>
    <t>Homeserver and bot-dependent</t>
  </si>
  <si>
    <t>Configurable rate limiting</t>
  </si>
  <si>
    <t>Server ACLs/rate controls</t>
  </si>
  <si>
    <t>Anti-spam/flood controls</t>
  </si>
  <si>
    <t>Rate limiting/admin controls</t>
  </si>
  <si>
    <t>Rate limits + admin controls</t>
  </si>
  <si>
    <t>Rate limiting + moderation</t>
  </si>
  <si>
    <t>Advanced anti-spam/rate controls</t>
  </si>
  <si>
    <t>Yes — spam protection + slowmode</t>
  </si>
  <si>
    <t>Rate controls</t>
  </si>
  <si>
    <t>Spam/raid tools</t>
  </si>
  <si>
    <t>Yes — API/gateway mutation rate limits and bounded report limits are documented</t>
  </si>
  <si>
    <t>Anti-Raid / Mass Join Mitigation</t>
  </si>
  <si>
    <t>Yes — Raid Protection uses ML signals and can require CAPTCHA; verification/security controls also available</t>
  </si>
  <si>
    <t>Homeserver/operator-dependent</t>
  </si>
  <si>
    <t>Federated ban-sharing planned</t>
  </si>
  <si>
    <t>Yes — join-spike detection, account-age gate, raid mode</t>
  </si>
  <si>
    <t>Automod raid protection</t>
  </si>
  <si>
    <t>Not fully documented</t>
  </si>
  <si>
    <t>Audit Log Retention Period</t>
  </si>
  <si>
    <t>45 days</t>
  </si>
  <si>
    <t>Server logs operator-controlled</t>
  </si>
  <si>
    <t>Server logs/operator-controlled</t>
  </si>
  <si>
    <t>Audit/admin logs deployment-dependent</t>
  </si>
  <si>
    <t>Audit logs enterprise/deployment-dependent</t>
  </si>
  <si>
    <t>Audit logs enterprise/admin</t>
  </si>
  <si>
    <t>Audit log</t>
  </si>
  <si>
    <t>Developer reports no audit-depth limit; public docs confirm audit records but do not publish a retention cap</t>
  </si>
  <si>
    <t>Audit Log Granularity &amp; Filtering</t>
  </si>
  <si>
    <t>Granular administrative actions with actor/target/changes/reason; available in client and API</t>
  </si>
  <si>
    <t>ACL/log tools</t>
  </si>
  <si>
    <t>Detailed permissions/logging</t>
  </si>
  <si>
    <t>Admin tooling</t>
  </si>
  <si>
    <t>Detailed audit/compliance tooling</t>
  </si>
  <si>
    <t>Detailed enterprise audit tools</t>
  </si>
  <si>
    <t>Operator tools</t>
  </si>
  <si>
    <t>Yes — searchable mod feed by user/date/action</t>
  </si>
  <si>
    <t>Staff actions logged</t>
  </si>
  <si>
    <t>Moderation tooling</t>
  </si>
  <si>
    <t>Yes — administration audit includes actor, action, target, safe metadata and timestamp</t>
  </si>
  <si>
    <t>New Member Screening / Gate</t>
  </si>
  <si>
    <t>Yes — Rules Screening + verification levels; Server Member Applications are available/rolling out</t>
  </si>
  <si>
    <t>Password/cert/ACL gates</t>
  </si>
  <si>
    <t>Password/permissions</t>
  </si>
  <si>
    <t>Invite/SSO/domain controls</t>
  </si>
  <si>
    <t>Invite/SSO/admin restrictions</t>
  </si>
  <si>
    <t>Invite/SSO/approval options</t>
  </si>
  <si>
    <t>Instance controls</t>
  </si>
  <si>
    <t>Report Management Queue &amp; Mod Dashboard</t>
  </si>
  <si>
    <t>Native moderation controls</t>
  </si>
  <si>
    <t>Moderation App dashboards/analytics</t>
  </si>
  <si>
    <t>Admin tools</t>
  </si>
  <si>
    <t>Admin UI</t>
  </si>
  <si>
    <t>Admin console</t>
  </si>
  <si>
    <t>Operator responsibility</t>
  </si>
  <si>
    <t>Yes — structured reports + Shard Command Center</t>
  </si>
  <si>
    <t>Reports in-app</t>
  </si>
  <si>
    <t>Admin/mod tools</t>
  </si>
  <si>
    <t>Yes — instance Trust &amp; Safety report queue with triage/review/request-info/action/no-action/duplicate/reopen workflow</t>
  </si>
  <si>
    <t>Moderator Workflow &amp; Enforcement</t>
  </si>
  <si>
    <t>Slowmode?</t>
  </si>
  <si>
    <t>Mention Spam Protection?</t>
  </si>
  <si>
    <t>Yes / included in anti-spam</t>
  </si>
  <si>
    <t>Verification Levels?</t>
  </si>
  <si>
    <t>Rules Screening?</t>
  </si>
  <si>
    <t>Join Questions / Application?</t>
  </si>
  <si>
    <t>Ban?</t>
  </si>
  <si>
    <t>Kick?</t>
  </si>
  <si>
    <t>Timeout / Mute?</t>
  </si>
  <si>
    <t>Automated Moderation</t>
  </si>
  <si>
    <t>Native AutoMod?</t>
  </si>
  <si>
    <t>Custom Keyword Blocklist?</t>
  </si>
  <si>
    <t>Regex Blocklist?</t>
  </si>
  <si>
    <t>Link Filter?</t>
  </si>
  <si>
    <t>Message Spam Detection?</t>
  </si>
  <si>
    <t>Rate Limits?</t>
  </si>
  <si>
    <t>Yes / slowmode</t>
  </si>
  <si>
    <t>Raid / Join Protection</t>
  </si>
  <si>
    <t>Raid Detection?</t>
  </si>
  <si>
    <t>Mass-Join Protection?</t>
  </si>
  <si>
    <t>CAPTCHA / Challenge?</t>
  </si>
  <si>
    <t>Optional Turnstile can be enabled for registration/failed sign-in challenges</t>
  </si>
  <si>
    <t>Moderator Workflow</t>
  </si>
  <si>
    <t>Mod Queue?</t>
  </si>
  <si>
    <t>Yes — Shard Command Center/mod feed</t>
  </si>
  <si>
    <t>User Report Queue?</t>
  </si>
  <si>
    <t>Yes — structured reports/status</t>
  </si>
  <si>
    <t>AutoMod Alert Channel?</t>
  </si>
  <si>
    <t>Audit Log?</t>
  </si>
  <si>
    <t>Audit Retention Days</t>
  </si>
  <si>
    <t>Audit Search / Filtering?</t>
  </si>
  <si>
    <t>Core Actions</t>
  </si>
  <si>
    <t>Role-Based Moderation?</t>
  </si>
  <si>
    <t>ACL-based</t>
  </si>
  <si>
    <t>Federated Ban Sharing?</t>
  </si>
  <si>
    <t>Instance-level domain silence/suspend rules exist; not a shared federated ban-list service</t>
  </si>
  <si>
    <t>Moderation Notes</t>
  </si>
  <si>
    <t>Protocol supports room permissions/power levels; tooling varies by client/server; Homeserver/operator-dependent; Client/server-dependent</t>
  </si>
  <si>
    <t>ACLs/permissions rather than AutoMod; N/A; Admin tools</t>
  </si>
  <si>
    <t>Server/operator moderation; Federated ban-sharing planned; Operator responsibility</t>
  </si>
  <si>
    <t>Built-in automod; Automod raid protection; Admin/mod tools</t>
  </si>
  <si>
    <t>https://github.com/CookieNom/KaedeChat/blob/main/docs/administration-and-developer-portals.md</t>
  </si>
  <si>
    <t>Moderator Operations</t>
  </si>
  <si>
    <t>Bulk Moderation Actions?</t>
  </si>
  <si>
    <t>Limited/native + bots</t>
  </si>
  <si>
    <t>Yes — searchable member table + bulk kick/ban/unban</t>
  </si>
  <si>
    <t>Deleted-Message Log?</t>
  </si>
  <si>
    <t>Audit log action metadata; deleted content generally not preserved</t>
  </si>
  <si>
    <t>Yes — 12h self-delete / 14d mod-removal log</t>
  </si>
  <si>
    <t>Reported-message snapshots survive later edit/deletion, but there is no general deleted-message log documented</t>
  </si>
  <si>
    <t>Edit History Lookup?</t>
  </si>
  <si>
    <t>No general native mod edit-history view</t>
  </si>
  <si>
    <t>Permission Audit Trail / Revert?</t>
  </si>
  <si>
    <t>Audit log records permission changes</t>
  </si>
  <si>
    <t>Yes — audit trail + one-click revert</t>
  </si>
  <si>
    <t>Audit trail exists; automatic permission revert is not documented</t>
  </si>
  <si>
    <t>Giveaway Abuse / Entry Controls?</t>
  </si>
  <si>
    <t>Yes — entry rules + verifiable draw</t>
  </si>
  <si>
    <t>Project Age (Years / Months)</t>
  </si>
  <si>
    <t>11 years 4 months (as of 2026-09-15)</t>
  </si>
  <si>
    <t>~5 years</t>
  </si>
  <si>
    <t>10 months</t>
  </si>
  <si>
    <t>~6 years</t>
  </si>
  <si>
    <t>~12 years</t>
  </si>
  <si>
    <t>~21 years</t>
  </si>
  <si>
    <t>~27 years project / ~25 years public</t>
  </si>
  <si>
    <t>~14 years</t>
  </si>
  <si>
    <t>~11 years</t>
  </si>
  <si>
    <t>&lt;1 year</t>
  </si>
  <si>
    <t>~2 years</t>
  </si>
  <si>
    <t>~3 years</t>
  </si>
  <si>
    <t>~1 year</t>
  </si>
  <si>
    <t>Codebase Continuity (Original / Fork / Revived)</t>
  </si>
  <si>
    <t>Original</t>
  </si>
  <si>
    <t>Original; Revolt → Stoat rebrand</t>
  </si>
  <si>
    <t>Original open protocol</t>
  </si>
  <si>
    <t>Reimplementation; Fosscord → Spacebar</t>
  </si>
  <si>
    <t>Original ground-up rebuild</t>
  </si>
  <si>
    <t>Fork/rework of Spacebar-compatible stack</t>
  </si>
  <si>
    <t>Original project</t>
  </si>
  <si>
    <t>Additional Project Health</t>
  </si>
  <si>
    <t>Former Name / Predecessor</t>
  </si>
  <si>
    <t>N/A / none known</t>
  </si>
  <si>
    <t>Revolt</t>
  </si>
  <si>
    <t>Fosscord</t>
  </si>
  <si>
    <t>Harmony platform; Fermi client</t>
  </si>
  <si>
    <t>Governance Model</t>
  </si>
  <si>
    <t>Solo-maintainer project; MIT-licensed public repository</t>
  </si>
  <si>
    <t>Last Major Release Date</t>
  </si>
  <si>
    <t>Public Roadmap?</t>
  </si>
  <si>
    <t>Limited — no comprehensive public product roadmap; blogs/changelogs announce plans and releases</t>
  </si>
  <si>
    <t>Public GitHub issues/projects + update posts</t>
  </si>
  <si>
    <t>Public roadmap/story posts</t>
  </si>
  <si>
    <t>Public 2026 roadmap</t>
  </si>
  <si>
    <t>Public spec roadmap/MSC process</t>
  </si>
  <si>
    <t>Public GitHub roadmap/issues</t>
  </si>
  <si>
    <t>Public GitHub milestones/issues</t>
  </si>
  <si>
    <t>Product roadmap/announcements</t>
  </si>
  <si>
    <t>Public roadmap/issues</t>
  </si>
  <si>
    <t>Public product roadmap/release docs</t>
  </si>
  <si>
    <t>Public roadmap/release docs</t>
  </si>
  <si>
    <t>Public site/press</t>
  </si>
  <si>
    <t>Public updates</t>
  </si>
  <si>
    <t>Public feature tracker</t>
  </si>
  <si>
    <t>Public subreddit/GitHub</t>
  </si>
  <si>
    <t>Public docs/blog</t>
  </si>
  <si>
    <t>Public site</t>
  </si>
  <si>
    <t>Public roadmap</t>
  </si>
  <si>
    <t>Public repos</t>
  </si>
  <si>
    <t>Public docs/GitHub</t>
  </si>
  <si>
    <t>Public site/updates</t>
  </si>
  <si>
    <t>Public site/GitHub</t>
  </si>
  <si>
    <t>Yes — active roadmap in the official Kaede community (developer report)</t>
  </si>
  <si>
    <t>Security Advisories?</t>
  </si>
  <si>
    <t>No public security advisories located</t>
  </si>
  <si>
    <t>Timeline</t>
  </si>
  <si>
    <t>Inception Year</t>
  </si>
  <si>
    <t>2021</t>
  </si>
  <si>
    <t>2025</t>
  </si>
  <si>
    <t>1999</t>
  </si>
  <si>
    <t>2024</t>
  </si>
  <si>
    <t>Inception Month</t>
  </si>
  <si>
    <t>May</t>
  </si>
  <si>
    <t>November</t>
  </si>
  <si>
    <t>Exact Inception Date Known?</t>
  </si>
  <si>
    <t>Public Alpha Date</t>
  </si>
  <si>
    <t>Public Beta Date</t>
  </si>
  <si>
    <t>Stable / 1.0 Date</t>
  </si>
  <si>
    <t>Current State</t>
  </si>
  <si>
    <t>Current Lifecycle Stage</t>
  </si>
  <si>
    <t>Actively Developed?</t>
  </si>
  <si>
    <t>Organization</t>
  </si>
  <si>
    <t>Maintainer Structure</t>
  </si>
  <si>
    <t>Corp (Discord Inc.)</t>
  </si>
  <si>
    <t>Small open-source collective</t>
  </si>
  <si>
    <t>Solo founder / tiny team</t>
  </si>
  <si>
    <t>Small company/open-source team</t>
  </si>
  <si>
    <t>Corp</t>
  </si>
  <si>
    <t>Nonprofit foundation + ecosystem companies/projects</t>
  </si>
  <si>
    <t>Volunteer project</t>
  </si>
  <si>
    <t>Community project</t>
  </si>
  <si>
    <t>Independent company + community</t>
  </si>
  <si>
    <t>Corp + open-source community</t>
  </si>
  <si>
    <t>Corp + community</t>
  </si>
  <si>
    <t>Founder-led company</t>
  </si>
  <si>
    <t>Solo/small community</t>
  </si>
  <si>
    <t>Small founder-led team</t>
  </si>
  <si>
    <t>Open-source community</t>
  </si>
  <si>
    <t>Open-source team</t>
  </si>
  <si>
    <t>Solo dev</t>
  </si>
  <si>
    <t>Solo-led + contributors</t>
  </si>
  <si>
    <t>Small private company</t>
  </si>
  <si>
    <t>Solo/small OSS</t>
  </si>
  <si>
    <t>Company Employee Count</t>
  </si>
  <si>
    <t>Original / Fork / Reimplementation</t>
  </si>
  <si>
    <t>Maintenance Signals</t>
  </si>
  <si>
    <t>Release Cadence</t>
  </si>
  <si>
    <t>Stable + PTB/Beta + Canary</t>
  </si>
  <si>
    <t>Rolling web/backend releases</t>
  </si>
  <si>
    <t>Alpha continuous deployment</t>
  </si>
  <si>
    <t>Stable/canary + beta mobile</t>
  </si>
  <si>
    <t>Frequent product updates</t>
  </si>
  <si>
    <t>Matrix spec releases + independent client/server release cadences</t>
  </si>
  <si>
    <t>Rolling alpha/dev</t>
  </si>
  <si>
    <t>Stable releases</t>
  </si>
  <si>
    <t>TS6 Beta + TS3 stable maintenance</t>
  </si>
  <si>
    <t>Frequent stable releases</t>
  </si>
  <si>
    <t>Monthly releases + ESR</t>
  </si>
  <si>
    <t>Frequent stable/enterprise releases</t>
  </si>
  <si>
    <t>Open beta rolling releases</t>
  </si>
  <si>
    <t>Frequent GitHub releases</t>
  </si>
  <si>
    <t>Frequent beta updates</t>
  </si>
  <si>
    <t>Open-beta rolling</t>
  </si>
  <si>
    <t>Alpha rolling</t>
  </si>
  <si>
    <t>Active releases</t>
  </si>
  <si>
    <t>Active beta</t>
  </si>
  <si>
    <t>Early rolling</t>
  </si>
  <si>
    <t>Experimental rolling</t>
  </si>
  <si>
    <t>Beta rolling</t>
  </si>
  <si>
    <t>Rapid alpha/beta releases</t>
  </si>
  <si>
    <t>Frequent beta releases</t>
  </si>
  <si>
    <t>Active 2026 releases</t>
  </si>
  <si>
    <t>Ships frequently/public beta</t>
  </si>
  <si>
    <t>A few releases per week during current active-development phase; expected to slow (developer report)</t>
  </si>
  <si>
    <t>Public Commit Activity</t>
  </si>
  <si>
    <t>N/A for core proprietary code; selected open-source components/SDKs have public activity</t>
  </si>
  <si>
    <t>High — active GitHub development in 2026</t>
  </si>
  <si>
    <t>Private codebase; public commit velocity unavailable</t>
  </si>
  <si>
    <t>High public GitHub activity</t>
  </si>
  <si>
    <t>Closed source — commit velocity not public</t>
  </si>
  <si>
    <t>High across spec and ecosystem repos</t>
  </si>
  <si>
    <t>Active GitHub development</t>
  </si>
  <si>
    <t>Active public GitHub</t>
  </si>
  <si>
    <t>Closed source; public commit velocity N/A</t>
  </si>
  <si>
    <t>Active 2026 development</t>
  </si>
  <si>
    <t>Active GitHub</t>
  </si>
  <si>
    <t>Active GitHub backend</t>
  </si>
  <si>
    <t>Active Codeberg/GitHub</t>
  </si>
  <si>
    <t>High solo commit velocity</t>
  </si>
  <si>
    <t>Closed/private code</t>
  </si>
  <si>
    <t>Source-available active repo</t>
  </si>
  <si>
    <t>High — public repository shows 247 commits at verification; developer reports 6–10 hours/day of current work</t>
  </si>
  <si>
    <t>Public Issue Tracker?</t>
  </si>
  <si>
    <t>N/A for core product — no public core GitHub issue tracker; support/feedback channels are used</t>
  </si>
  <si>
    <t>Public issue trackers</t>
  </si>
  <si>
    <t>Public GitHub issues</t>
  </si>
  <si>
    <t>Private issue process/support</t>
  </si>
  <si>
    <t>Public GitHub issue/MSC processes</t>
  </si>
  <si>
    <t>Public issues</t>
  </si>
  <si>
    <t>Support/feedback</t>
  </si>
  <si>
    <t>Public GitHub issues/support</t>
  </si>
  <si>
    <t>Support/community feedback</t>
  </si>
  <si>
    <t>Community support</t>
  </si>
  <si>
    <t>Community feedback</t>
  </si>
  <si>
    <t>GitHub issues</t>
  </si>
  <si>
    <t>Support/community</t>
  </si>
  <si>
    <t>Support</t>
  </si>
  <si>
    <t>GitHub</t>
  </si>
  <si>
    <t>GitHub/support</t>
  </si>
  <si>
    <t>Feedback/support</t>
  </si>
  <si>
    <t>Yes — GitHub Issues</t>
  </si>
  <si>
    <t>Public Changelog?</t>
  </si>
  <si>
    <t>Yes — public changelogs, patch notes, support updates, and developer changelog</t>
  </si>
  <si>
    <t>Yes — GitHub changelogs/releases and Stoat updates</t>
  </si>
  <si>
    <t>Public blog/changelog</t>
  </si>
  <si>
    <t>Public changelog/help docs</t>
  </si>
  <si>
    <t>Public specification changelogs and project release notes</t>
  </si>
  <si>
    <t>GitHub releases/commits</t>
  </si>
  <si>
    <t>Public releases/changelog</t>
  </si>
  <si>
    <t>Public news/release notes</t>
  </si>
  <si>
    <t>Public release notes</t>
  </si>
  <si>
    <t>Public updates/press</t>
  </si>
  <si>
    <t>GitHub releases</t>
  </si>
  <si>
    <t>Public changelog/blog</t>
  </si>
  <si>
    <t>Public site updates</t>
  </si>
  <si>
    <t>Public roadmap/updates</t>
  </si>
  <si>
    <t>Public commits</t>
  </si>
  <si>
    <t>GitHub commits</t>
  </si>
  <si>
    <t>Git history</t>
  </si>
  <si>
    <t>Many GitHub releases</t>
  </si>
  <si>
    <t>App release notes</t>
  </si>
  <si>
    <t>Public site/repo</t>
  </si>
  <si>
    <t>No conventional public changelog/release-note stream located; repository history is active</t>
  </si>
  <si>
    <t>Project / Maintenance Notes</t>
  </si>
  <si>
    <t>11 years 4 months (as of 2026-09-15); Stable + PTB/Beta + Canary</t>
  </si>
  <si>
    <t>~5 years; Rolling web/backend releases</t>
  </si>
  <si>
    <t>10 months; Alpha continuous deployment</t>
  </si>
  <si>
    <t>~6 years; Stable/canary + beta mobile</t>
  </si>
  <si>
    <t>~12 years; Matrix spec releases + independent client/server release cadences</t>
  </si>
  <si>
    <t>~5 years; Rolling alpha/dev</t>
  </si>
  <si>
    <t>~21 years; Stable releases</t>
  </si>
  <si>
    <t>~27 years project / ~25 years public; TS6 Beta + TS3 stable maintenance</t>
  </si>
  <si>
    <t>~14 years; Frequent stable releases</t>
  </si>
  <si>
    <t>~11 years; Monthly releases + ESR</t>
  </si>
  <si>
    <t>~11 years; Frequent stable/enterprise releases</t>
  </si>
  <si>
    <t>&lt;1 year; Open beta rolling releases</t>
  </si>
  <si>
    <t>~2 years; Frequent beta updates</t>
  </si>
  <si>
    <t>&lt;1 year; Open-beta rolling</t>
  </si>
  <si>
    <t>&lt;1 year; Alpha rolling</t>
  </si>
  <si>
    <t>&lt;1 year; Active beta</t>
  </si>
  <si>
    <t>&lt;1 year; Early rolling</t>
  </si>
  <si>
    <t>&lt;1 year; Beta rolling</t>
  </si>
  <si>
    <t>&lt;1 year; Rapid alpha/beta releases</t>
  </si>
  <si>
    <t>~3 years; Frequent beta releases</t>
  </si>
  <si>
    <t>&lt;1 year; Frequent product updates</t>
  </si>
  <si>
    <t>~1 year; Ships frequently/public beta</t>
  </si>
  <si>
    <t>Engineering Health</t>
  </si>
  <si>
    <t>Automated CI / Build Status Public?</t>
  </si>
  <si>
    <t>Public repos/CI</t>
  </si>
  <si>
    <t>Yes — GitHub Actions/workflows plus Make-based check/test/audit/release checks</t>
  </si>
  <si>
    <t>Automated Dependency Updates?</t>
  </si>
  <si>
    <t>Not publicly documented</t>
  </si>
  <si>
    <t>Release Artifact Signing / Provenance?</t>
  </si>
  <si>
    <t>Public Contributor Count / Bus Factor Signal</t>
  </si>
  <si>
    <t>Company development</t>
  </si>
  <si>
    <t>Open-source contributors</t>
  </si>
  <si>
    <t>Solo-maintainer bus factor; private security researcher assists with bug finding</t>
  </si>
  <si>
    <t>Version Support / EOL Policy</t>
  </si>
  <si>
    <t>SaaS continuous</t>
  </si>
  <si>
    <t>Yes — ESR/support lifecycle</t>
  </si>
  <si>
    <t>Yes — documented support window</t>
  </si>
  <si>
    <t>No published version-support/EOL policy</t>
  </si>
  <si>
    <t>Release Cadence (Nightly / Canary / Stable)</t>
  </si>
  <si>
    <t>Commit Velocity / GitHub Activity</t>
  </si>
  <si>
    <t>Maintainer Structure (Solo Dev / Small Collective / Foundation / Corp)</t>
  </si>
  <si>
    <t>Public Roadmap Availability</t>
  </si>
  <si>
    <t>Issue Tracker Responsiveness</t>
  </si>
  <si>
    <t>Public Changelog &amp; Release Notes</t>
  </si>
  <si>
    <t>Release Engineering</t>
  </si>
  <si>
    <t>Published Support / EOL Window</t>
  </si>
  <si>
    <t>Service continuously updated / no version EOL</t>
  </si>
  <si>
    <t>Yes — version support window documented</t>
  </si>
  <si>
    <t>Automated Dependency Update Policy</t>
  </si>
  <si>
    <t>Release Signing / Provenance</t>
  </si>
  <si>
    <t>Bot / Gateway API Type (REST / WebSockets / Gateway)</t>
  </si>
  <si>
    <t>REST/HTTP API + Gateway WebSocket</t>
  </si>
  <si>
    <t>REST + WebSocket event API</t>
  </si>
  <si>
    <t>Bot API planned after public release</t>
  </si>
  <si>
    <t>REST + Gateway/WebSocket, deliberately Discord-like</t>
  </si>
  <si>
    <t>Root Community API + hosted app/bot runtime</t>
  </si>
  <si>
    <t>Open Client-Server, Server-Server, Application Service APIs; WebSocket-like sync transports depending spec version</t>
  </si>
  <si>
    <t>Discord-compatible REST + Gateway</t>
  </si>
  <si>
    <t>Server RPC/API (Ice) + protocol libraries</t>
  </si>
  <si>
    <t>REST + realtime event queues</t>
  </si>
  <si>
    <t>REST + WebSocket API</t>
  </si>
  <si>
    <t>REST + realtime/WebSocket/DDP + Apps engine</t>
  </si>
  <si>
    <t>Custom API/federation</t>
  </si>
  <si>
    <t>API-first design</t>
  </si>
  <si>
    <t>ATProto + Roomy SDK</t>
  </si>
  <si>
    <t>Nostr/Concord protocols</t>
  </si>
  <si>
    <t>Custom protocol; no HTTP API emphasis</t>
  </si>
  <si>
    <t>Custom server/WebSocket APIs</t>
  </si>
  <si>
    <t>Official API used by client</t>
  </si>
  <si>
    <t>Scoped REST + direct Gateway/WebSocket API; federated bot workers connect directly to target authorities</t>
  </si>
  <si>
    <t>Inbound Webhooks</t>
  </si>
  <si>
    <t>No current public webhook API verified</t>
  </si>
  <si>
    <t>Application services/webhooks via integrations</t>
  </si>
  <si>
    <t>Discord-compatible webhooks target</t>
  </si>
  <si>
    <t>No Discord-style incoming webhooks</t>
  </si>
  <si>
    <t>Yes — incoming webhooks/integrations</t>
  </si>
  <si>
    <t>Webhooks supported</t>
  </si>
  <si>
    <t>Bridge/integrations</t>
  </si>
  <si>
    <t>Nostr relays/integrations</t>
  </si>
  <si>
    <t>Plugins</t>
  </si>
  <si>
    <t>Yes — Discord, GitHub and Slack-compatible incoming webhooks</t>
  </si>
  <si>
    <t>Discord-compatible webhooks</t>
  </si>
  <si>
    <t>Incoming webhooks</t>
  </si>
  <si>
    <t>Outbound Webhooks</t>
  </si>
  <si>
    <t>Yes — webhook events and interaction endpoints</t>
  </si>
  <si>
    <t>No current public event webhook API verified</t>
  </si>
  <si>
    <t>Gateway events/webhooks</t>
  </si>
  <si>
    <t>Event subscriptions in hosted runtime</t>
  </si>
  <si>
    <t>Application Service transactions/events</t>
  </si>
  <si>
    <t>Gateway events</t>
  </si>
  <si>
    <t>No Discord-style outbound webhooks</t>
  </si>
  <si>
    <t>Yes — bots/webhooks/event queues</t>
  </si>
  <si>
    <t>Events/interactions</t>
  </si>
  <si>
    <t>Federation events/webhooks planned</t>
  </si>
  <si>
    <t>Gateway/events</t>
  </si>
  <si>
    <t>ATProto events</t>
  </si>
  <si>
    <t>Events/plugins</t>
  </si>
  <si>
    <t>Webhooks/events</t>
  </si>
  <si>
    <t>API/events</t>
  </si>
  <si>
    <t>Gateway event stream is primary realtime event mechanism; no generic outbound webhook subscription system was verified</t>
  </si>
  <si>
    <t>Official SDKs &amp; Libraries (JS / Python / Rust / Go)</t>
  </si>
  <si>
    <t>JS/TS: official Embedded App SDK; no official general bot SDKs for Python/Rust/Go; Social SDK targets C++/Unity/Unreal</t>
  </si>
  <si>
    <t>Official TypeScript client SDK; community libraries</t>
  </si>
  <si>
    <t>No public SDKs yet</t>
  </si>
  <si>
    <t>Official TypeScript SDK / Node runtime</t>
  </si>
  <si>
    <t>Many SDKs incl JS/TS, Rust, Python, Go/community</t>
  </si>
  <si>
    <t>Discord ecosystem compatibility; Spacebar docs</t>
  </si>
  <si>
    <t>Community libraries</t>
  </si>
  <si>
    <t>Official/community libraries incl Python; broad API</t>
  </si>
  <si>
    <t>Client/server APIs; Go/JS ecosystem</t>
  </si>
  <si>
    <t>SDKs/APIs + Apps framework</t>
  </si>
  <si>
    <t>Official Nerimity.js</t>
  </si>
  <si>
    <t>discord.py/discord.js compatibility</t>
  </si>
  <si>
    <t>SDK/integration ecosystem</t>
  </si>
  <si>
    <t>Discord bot libraries largely reusable</t>
  </si>
  <si>
    <t>Roomy SDK</t>
  </si>
  <si>
    <t>Nostr libraries</t>
  </si>
  <si>
    <t>Custom/open-source ecosystem</t>
  </si>
  <si>
    <t>Official .NET SDK</t>
  </si>
  <si>
    <t>Official Python SDK: kaede-bot</t>
  </si>
  <si>
    <t>Custom Slash / Interaction Commands</t>
  </si>
  <si>
    <t>Yes — slash commands, components, modals, interactions</t>
  </si>
  <si>
    <t>Native slash commands exist; developer interaction API planned</t>
  </si>
  <si>
    <t>Bots/commands + full GUI Apps</t>
  </si>
  <si>
    <t>Client extensions/bots; interaction UX client-dependent</t>
  </si>
  <si>
    <t>Discord interaction compatibility target</t>
  </si>
  <si>
    <t>Slash-command-style integrations/bots</t>
  </si>
  <si>
    <t>Slash commands + interactive messages</t>
  </si>
  <si>
    <t>Slash commands/apps</t>
  </si>
  <si>
    <t>Bots/API</t>
  </si>
  <si>
    <t>Slash commands/buttons/modals</t>
  </si>
  <si>
    <t>Bots</t>
  </si>
  <si>
    <t>Interactions target</t>
  </si>
  <si>
    <t>Protocol-driven</t>
  </si>
  <si>
    <t>No bot ecosystem yet</t>
  </si>
  <si>
    <t>Bots/OAuth apps</t>
  </si>
  <si>
    <t>Native modules rather than bot-first</t>
  </si>
  <si>
    <t>Yes — commands, buttons, selects, checkboxes, text inputs, modals, polls, files and forwarding are documented</t>
  </si>
  <si>
    <t>Client Plugin / Modding Architecture</t>
  </si>
  <si>
    <t>No official client plugin/modding architecture</t>
  </si>
  <si>
    <t>Community clients/themes; no stable official plugin architecture verified</t>
  </si>
  <si>
    <t>No official client-plugin architecture verified</t>
  </si>
  <si>
    <t>No client modding</t>
  </si>
  <si>
    <t>Multiple independent clients rather than plugins to one official client</t>
  </si>
  <si>
    <t>Spacebar-aware client theming/plugin goals</t>
  </si>
  <si>
    <t>Plugins supported</t>
  </si>
  <si>
    <t>Plugins/addons ecosystem</t>
  </si>
  <si>
    <t>No client plugin architecture</t>
  </si>
  <si>
    <t>Plugin architecture (server/webapp)</t>
  </si>
  <si>
    <t>Apps/plugin framework</t>
  </si>
  <si>
    <t>No client plugins verified</t>
  </si>
  <si>
    <t>Themes/RPC</t>
  </si>
  <si>
    <t>Independent clients encouraged</t>
  </si>
  <si>
    <t>Open protocol client ecosystem</t>
  </si>
  <si>
    <t>Independent clients possible</t>
  </si>
  <si>
    <t>No plugin ecosystem</t>
  </si>
  <si>
    <t>Themes rather than client mods</t>
  </si>
  <si>
    <t>No general client plugin architecture documented; custom CSS/theme support is developer-reported</t>
  </si>
  <si>
    <t>API Rate Limits &amp; Developer Portal</t>
  </si>
  <si>
    <t>Yes — Developer Portal + per-route/global REST limits; Gateway 120 events/60s/connection</t>
  </si>
  <si>
    <t>No public developer portal/API limits yet</t>
  </si>
  <si>
    <t>Public spec/API; rate limits homeserver-dependent</t>
  </si>
  <si>
    <t>Documented API; operator-configurable</t>
  </si>
  <si>
    <t>Public protocol/docs; limits server-controlled</t>
  </si>
  <si>
    <t>Public API docs/rate behavior</t>
  </si>
  <si>
    <t>Documented APIs/rate limits</t>
  </si>
  <si>
    <t>Public API docs/rate limits</t>
  </si>
  <si>
    <t>Public API docs</t>
  </si>
  <si>
    <t>Public API/docs</t>
  </si>
  <si>
    <t>Public source/API</t>
  </si>
  <si>
    <t>Public code</t>
  </si>
  <si>
    <t>Source/whitepaper</t>
  </si>
  <si>
    <t>Public API</t>
  </si>
  <si>
    <t>Rate limiting is implemented and Retry-After is handled; exact per-endpoint quotas are not exhaustively summarized in the reviewed docs</t>
  </si>
  <si>
    <t>Apps &amp; Distribution</t>
  </si>
  <si>
    <t>Bot Accounts?</t>
  </si>
  <si>
    <t>Yes — bot applications are federated accounts with scoped installs</t>
  </si>
  <si>
    <t>OAuth2?</t>
  </si>
  <si>
    <t>No OAuth2 login flow documented; apps use Kaede-specific install templates/scoped credentials</t>
  </si>
  <si>
    <t>Developer Portal?</t>
  </si>
  <si>
    <t>Embedded Apps?</t>
  </si>
  <si>
    <t>No embedded iframe/web-app runtime</t>
  </si>
  <si>
    <t>App Marketplace / Directory</t>
  </si>
  <si>
    <t>Integration directory</t>
  </si>
  <si>
    <t>Yes — federated public App Directory for reviewed applications/bots</t>
  </si>
  <si>
    <t>User-Installed Apps</t>
  </si>
  <si>
    <t>Yes — user-installable apps supported</t>
  </si>
  <si>
    <t>Workspace-admin app install</t>
  </si>
  <si>
    <t>Yes — guild and user installation contexts are supported</t>
  </si>
  <si>
    <t>API Surfaces</t>
  </si>
  <si>
    <t>Public REST API?</t>
  </si>
  <si>
    <t>Gateway / WebSocket API?</t>
  </si>
  <si>
    <t>Realtime Event API?</t>
  </si>
  <si>
    <t>Inbound Webhooks?</t>
  </si>
  <si>
    <t>Yes — Discord/GitHub/Slack-compatible</t>
  </si>
  <si>
    <t>Outbound / Event Webhooks?</t>
  </si>
  <si>
    <t>SDKs</t>
  </si>
  <si>
    <t>Official JS / TS SDK?</t>
  </si>
  <si>
    <t>No official JS/TS bot SDK documented</t>
  </si>
  <si>
    <t>Official Python SDK?</t>
  </si>
  <si>
    <t>Yes — official kaede-bot package</t>
  </si>
  <si>
    <t>Official Rust SDK?</t>
  </si>
  <si>
    <t>No official Rust bot SDK documented</t>
  </si>
  <si>
    <t>Official Go SDK?</t>
  </si>
  <si>
    <t>No official Go bot SDK documented</t>
  </si>
  <si>
    <t>Community SDK Ecosystem?</t>
  </si>
  <si>
    <t>Early ecosystem; official Python SDK is the primary SDK</t>
  </si>
  <si>
    <t>Interactions</t>
  </si>
  <si>
    <t>Slash Commands?</t>
  </si>
  <si>
    <t>Buttons / Components?</t>
  </si>
  <si>
    <t>Modals / Forms?</t>
  </si>
  <si>
    <t>Yes — Portals / embedded workspaces</t>
  </si>
  <si>
    <t>Extensibility</t>
  </si>
  <si>
    <t>Server Plugins?</t>
  </si>
  <si>
    <t>No server-plugin system documented</t>
  </si>
  <si>
    <t>Client Plugins?</t>
  </si>
  <si>
    <t>API Rate Limits Published?</t>
  </si>
  <si>
    <t>Bot Hosting Included?</t>
  </si>
  <si>
    <t>Yes — hosted app runtime</t>
  </si>
  <si>
    <t>No bundled bot hosting; developers run their own Python workers</t>
  </si>
  <si>
    <t>Paid Developer Features?</t>
  </si>
  <si>
    <t>Developer monetization planned/supported</t>
  </si>
  <si>
    <t>No paid developer features documented</t>
  </si>
  <si>
    <t>Developer Notes</t>
  </si>
  <si>
    <t>REST/HTTP API + Gateway WebSocket; JS/TS: official Embedded App SDK; no official general bot SDKs for Python/Rust/Go; Social SDK targets C++/Unity/Unreal; Yes — slash commands, components, modals, interactions</t>
  </si>
  <si>
    <t>Bot API planned after public release; No public SDKs yet; Native slash commands exist; developer interaction API planned</t>
  </si>
  <si>
    <t>Root Community API + hosted app/bot runtime; Official TypeScript SDK / Node runtime; Bots/commands + full GUI Apps</t>
  </si>
  <si>
    <t>Open Client-Server, Server-Server, Application Service APIs; WebSocket-like sync transports depending spec version; Many SDKs incl JS/TS, Rust, Python, Go/community; Client extensions/bots; interaction UX client-dependent</t>
  </si>
  <si>
    <t>Discord-compatible REST + Gateway; Discord ecosystem compatibility; Spacebar docs; Discord interaction compatibility target</t>
  </si>
  <si>
    <t>Server RPC/API (Ice) + protocol libraries; Community libraries; N/A</t>
  </si>
  <si>
    <t>REST + realtime event queues; Official/community libraries incl Python; broad API; Slash-command-style integrations/bots</t>
  </si>
  <si>
    <t>REST + WebSocket API; Client/server APIs; Go/JS ecosystem; Slash commands + interactive messages</t>
  </si>
  <si>
    <t>REST + realtime/WebSocket/DDP + Apps engine; SDKs/APIs + Apps framework; Slash commands/apps</t>
  </si>
  <si>
    <t>Discord-compatible API; discord.py/discord.js compatibility; Slash commands/buttons/modals</t>
  </si>
  <si>
    <t>API-first design; SDK/integration ecosystem; Bots</t>
  </si>
  <si>
    <t>Discord-compatible API; Discord bot libraries largely reusable; Interactions target</t>
  </si>
  <si>
    <t>Nostr/Concord protocols; Nostr libraries; Protocol-driven</t>
  </si>
  <si>
    <t>Custom protocol; no HTTP API emphasis; Open source; No bot ecosystem yet</t>
  </si>
  <si>
    <t>Custom server/WebSocket APIs; Custom/open-source ecosystem; Plugin system</t>
  </si>
  <si>
    <t>Official API used by client; Official .NET SDK; Bots/OAuth apps</t>
  </si>
  <si>
    <t>https://github.com/CookieNom/KaedeChat/blob/main/docs/bot-api-quickstart.md</t>
  </si>
  <si>
    <t>Embedded App Platform</t>
  </si>
  <si>
    <t>App Marketplace / Directory?</t>
  </si>
  <si>
    <t>Yes — App Directory</t>
  </si>
  <si>
    <t>Embedded Web App / Iframe Runtime?</t>
  </si>
  <si>
    <t>Yes — Activities run as iframe web apps</t>
  </si>
  <si>
    <t>Plugins can add webapp components</t>
  </si>
  <si>
    <t>Apps are workspace extensions; iframe model not primary</t>
  </si>
  <si>
    <t>Yes — Portals embedded alongside chat</t>
  </si>
  <si>
    <t>No embedded web-app/iframe runtime</t>
  </si>
  <si>
    <t>Shared Synchronized App Sessions?</t>
  </si>
  <si>
    <t>Yes — Activities</t>
  </si>
  <si>
    <t>Yes — Watch Party; Tabletop/Arcade experimental</t>
  </si>
  <si>
    <t>No shared embedded-app session model</t>
  </si>
  <si>
    <t>App Permission / Scope Model?</t>
  </si>
  <si>
    <t>Yes — OAuth2/scopes + SDK scopes</t>
  </si>
  <si>
    <t>Plugin permissions/admin install</t>
  </si>
  <si>
    <t>Apps-Engine permissions/packaging</t>
  </si>
  <si>
    <t>Yes — scopes, intents, permissions, worker keys, E2EE modes and target-domain rules</t>
  </si>
  <si>
    <t>App Monetization / IAP?</t>
  </si>
  <si>
    <t>Yes — Activity IAP / SKUs supported</t>
  </si>
  <si>
    <t>Paid marketplace apps exist</t>
  </si>
  <si>
    <t>No app IAP/monetization system documented</t>
  </si>
  <si>
    <t>Native AI Features (Summaries / Bots / Search)</t>
  </si>
  <si>
    <t>Limited — experimental In-Channel Conversation Summaries; AI/ML also used for safety/moderation</t>
  </si>
  <si>
    <t>No native AI/LLM inference over messages/files/calls</t>
  </si>
  <si>
    <t>No user-facing native generative AI emphasized</t>
  </si>
  <si>
    <t>No platform-wide native AI requirement; client/server vendors may add AI independently</t>
  </si>
  <si>
    <t>No native AI feature requirement</t>
  </si>
  <si>
    <t>No mandatory native AI feature</t>
  </si>
  <si>
    <t>AI features depend on Mattermost AI/enterprise integrations; not core universal</t>
  </si>
  <si>
    <t>Optional AI apps/integrations; not required core</t>
  </si>
  <si>
    <t>No native AI feature verified</t>
  </si>
  <si>
    <t>Built-in translation and voice transcription</t>
  </si>
  <si>
    <t>Yes — moderation, translation, meeting summaries</t>
  </si>
  <si>
    <t>No native AI feature</t>
  </si>
  <si>
    <t>No native AI reading messages advertised</t>
  </si>
  <si>
    <t>No native AI feature advertised</t>
  </si>
  <si>
    <t>Some game modules include AI NPCs/features</t>
  </si>
  <si>
    <t>User Chat / Voice Scraped for Model Training?</t>
  </si>
  <si>
    <t>No — Discord says it does not allow AI companies to train models using user messages; voice/video is generally not stored</t>
  </si>
  <si>
    <t>No — privacy policy explicitly forbids use for training/evaluation</t>
  </si>
  <si>
    <t>No — privacy policy states content is not used to train AI models</t>
  </si>
  <si>
    <t>No single Matrix-wide data controller; training policy depends on homeserver/client provider</t>
  </si>
  <si>
    <t>Self-hosted operator-controlled; no central training policy</t>
  </si>
  <si>
    <t>No central service/model training; self-hosted</t>
  </si>
  <si>
    <t>Cloud/provider policy; no general claim of training user content found here</t>
  </si>
  <si>
    <t>Policy/deployment/provider-dependent; self-host can keep data controlled</t>
  </si>
  <si>
    <t>No behavioral tracking; training policy not explicitly verified</t>
  </si>
  <si>
    <t>No model training claim; content stays on operator server</t>
  </si>
  <si>
    <t>Provider/project dependent</t>
  </si>
  <si>
    <t>No central content owner; encrypted content</t>
  </si>
  <si>
    <t>No server-readable plaintext</t>
  </si>
  <si>
    <t>Self-host/operator controlled</t>
  </si>
  <si>
    <t>No — site says messages/uploads never train AI</t>
  </si>
  <si>
    <t>No (developer statement)</t>
  </si>
  <si>
    <t>AI Training Consent Terms (Opt-In / Opt-Out / None)</t>
  </si>
  <si>
    <t>None for third-party model training (not permitted); experimental AI features may have separate visibility/privacy controls</t>
  </si>
  <si>
    <t>None — not used for training</t>
  </si>
  <si>
    <t>None for training</t>
  </si>
  <si>
    <t>Provider-specific</t>
  </si>
  <si>
    <t>Operator-dependent</t>
  </si>
  <si>
    <t>None — project states it does not train on user data</t>
  </si>
  <si>
    <t>AI Assistance Used in Codebase Development (%)</t>
  </si>
  <si>
    <t>0% allowed by Fermi contribution policy</t>
  </si>
  <si>
    <t>Not published</t>
  </si>
  <si>
    <t>AI Development Transparency &amp; Disclosure</t>
  </si>
  <si>
    <t>No percentage published</t>
  </si>
  <si>
    <t>AI models used for translation/transcription disclosed</t>
  </si>
  <si>
    <t>Publicly discloses AI-powered features</t>
  </si>
  <si>
    <t>Privacy-first/no surveillance model</t>
  </si>
  <si>
    <t>Fermi explicitly bans AI-generated code</t>
  </si>
  <si>
    <t>Developer publicly discloses Claude use for development tooling</t>
  </si>
  <si>
    <t>Public FAQ discloses AI is used for parts of coding, with developer review</t>
  </si>
  <si>
    <t>AI is product-feature specific, not general chat summarization</t>
  </si>
  <si>
    <t>AI is used to speed development; primary developer retains architectural decisions and reviews AI-written code (developer statement)</t>
  </si>
  <si>
    <t>AI Governance Detail</t>
  </si>
  <si>
    <t>No native AI-product governance layer; user data is not used for model training per developer statement</t>
  </si>
  <si>
    <t>Native Generative AI?</t>
  </si>
  <si>
    <t>AI Search?</t>
  </si>
  <si>
    <t>AI Moderation?</t>
  </si>
  <si>
    <t>AI Translation?</t>
  </si>
  <si>
    <t>AI Transcription?</t>
  </si>
  <si>
    <t>Third-Party AI Providers?</t>
  </si>
  <si>
    <t>Provider/deployment-specific</t>
  </si>
  <si>
    <t>Not disclosed</t>
  </si>
  <si>
    <t>AI Features Can Be Disabled?</t>
  </si>
  <si>
    <t>No user-facing AI features; not applicable</t>
  </si>
  <si>
    <t>Message Summaries?</t>
  </si>
  <si>
    <t>Voice Summaries?</t>
  </si>
  <si>
    <t>AI Bots / Agents?</t>
  </si>
  <si>
    <t>Training &amp; Data Use</t>
  </si>
  <si>
    <t>User Messages Used for Model Training?</t>
  </si>
  <si>
    <t>Voice Used for Model Training?</t>
  </si>
  <si>
    <t>Files Used for Model Training?</t>
  </si>
  <si>
    <t>Training Consent Model</t>
  </si>
  <si>
    <t>Control &amp; Development</t>
  </si>
  <si>
    <t>AI-Assisted Development Disclosed?</t>
  </si>
  <si>
    <t>Yes — public FAQ</t>
  </si>
  <si>
    <t>AI Code Contribution Policy</t>
  </si>
  <si>
    <t>AI-generated code banned in Fermi contributions</t>
  </si>
  <si>
    <t>AI Development % Published?</t>
  </si>
  <si>
    <t>AI / Data Use Notes</t>
  </si>
  <si>
    <t>Rift says messages/uploads are not used to train AI; FAQ says AI is used for parts of code development and reviewed by a developer.</t>
  </si>
  <si>
    <t>AI Governance &amp; Controls</t>
  </si>
  <si>
    <t>AI Feature Data Retention Published?</t>
  </si>
  <si>
    <t>No AI feature data-retention policy needed because no native AI feature is documented</t>
  </si>
  <si>
    <t>Human Review of AI Outputs / Flags?</t>
  </si>
  <si>
    <t>Developer manually reviews AI-written code</t>
  </si>
  <si>
    <t>Enterprise / Admin AI Disable Controls?</t>
  </si>
  <si>
    <t>Deployment/plugin dependent</t>
  </si>
  <si>
    <t>N/A — no native AI feature set</t>
  </si>
  <si>
    <t>AI-Generated Content Labeling?</t>
  </si>
  <si>
    <t>Primary Funding Source (Self-Funded / Donations / VC / Enterprise)</t>
  </si>
  <si>
    <t>VC-backed private company + operating revenue from subscriptions, paid products, and sponsored content</t>
  </si>
  <si>
    <t>Subscribers + donors; explicitly no VC/outside investors</t>
  </si>
  <si>
    <t>Matrix.org Foundation + ecosystem companies/donations/managed hosting</t>
  </si>
  <si>
    <t>Independent company + subscriptions/support; no VC per project messaging</t>
  </si>
  <si>
    <t>VC/enterprise-backed commercial company + product revenue</t>
  </si>
  <si>
    <t>VC/enterprise company + subscriptions</t>
  </si>
  <si>
    <t>Self-funded; LightSpeed Gaming LLC</t>
  </si>
  <si>
    <t>Donations</t>
  </si>
  <si>
    <t>Founder/community project</t>
  </si>
  <si>
    <t>Company-backed</t>
  </si>
  <si>
    <t>Community/passion project</t>
  </si>
  <si>
    <t>Paid licensing + managed hosting</t>
  </si>
  <si>
    <t>Volunteer/open-source</t>
  </si>
  <si>
    <t>Open-source/community project</t>
  </si>
  <si>
    <t>Solo/open-source project</t>
  </si>
  <si>
    <t>Donation/community funded; no investors</t>
  </si>
  <si>
    <t>Open-source/hosted project</t>
  </si>
  <si>
    <t>Small private team</t>
  </si>
  <si>
    <t>Volunteer/no corporate funding + subscriptions/Patreon</t>
  </si>
  <si>
    <t>Solo/private project</t>
  </si>
  <si>
    <t>Self-funded from developer's other apps/services and day job (developer report)</t>
  </si>
  <si>
    <t>Monetization Strategy (Free / Nitro-Style Cosmetics / Hosted / Enterprise)</t>
  </si>
  <si>
    <t>Freemium; Nitro/Nitro Basic, Server Boosts, Shop/paid products, sponsored content/Quests</t>
  </si>
  <si>
    <t>Freemium; planned Surge $4.99, Flare $9.99, higher creator tier</t>
  </si>
  <si>
    <t>Freemium + Plutonium subscription + donations</t>
  </si>
  <si>
    <t>Freemium + Sudo subscription / paid perks + developer ecosystem</t>
  </si>
  <si>
    <t>Open protocol; hosted homeservers/enterprise services sold by providers</t>
  </si>
  <si>
    <t>Free self-hosted software</t>
  </si>
  <si>
    <t>Free open-source; commercial hosting by third parties</t>
  </si>
  <si>
    <t>Free client/use tiers + server licensing/hosted/community options</t>
  </si>
  <si>
    <t>Cloud subscriptions + paid self-host support; open-source free self-host</t>
  </si>
  <si>
    <t>Self-hosted/cloud enterprise subscriptions + free/open editions</t>
  </si>
  <si>
    <t>Cloud + enterprise/self-managed subscriptions + open-source core</t>
  </si>
  <si>
    <t>Free hosted use + paid server tiers/self-host licensing</t>
  </si>
  <si>
    <t>Free / donation-funded</t>
  </si>
  <si>
    <t>Free; no paywalls claimed</t>
  </si>
  <si>
    <t>Self-host server license + optional hosted trial/service</t>
  </si>
  <si>
    <t>Free/open source</t>
  </si>
  <si>
    <t>Free/open-source</t>
  </si>
  <si>
    <t>Free/open source; hosting/relay costs</t>
  </si>
  <si>
    <t>Free/open-source; relay/code-signing costs borne by developer</t>
  </si>
  <si>
    <t>Free hosted beta + self-host</t>
  </si>
  <si>
    <t>Free + optional Stargazer subscriptions</t>
  </si>
  <si>
    <t>Core free; private lobby/crew hosting tier ~$6/month; custom builds</t>
  </si>
  <si>
    <t>Cosmetic Subscription Perks (Nitro-Equivalent)</t>
  </si>
  <si>
    <t>Yes — Nitro/Nitro Basic; cosmetics, emoji/stickers, themes, larger uploads, HD streaming; Nitro includes boosts</t>
  </si>
  <si>
    <t>Paid tiers planned</t>
  </si>
  <si>
    <t>Plutonium perks incl. higher upload/streaming limits</t>
  </si>
  <si>
    <t>Client/provider-specific</t>
  </si>
  <si>
    <t>Paid server tiers/quality upgrades</t>
  </si>
  <si>
    <t>No Nitro-style requirement known</t>
  </si>
  <si>
    <t>No Nitro-style paywall</t>
  </si>
  <si>
    <t>No ads</t>
  </si>
  <si>
    <t>No per-user Nitro focus</t>
  </si>
  <si>
    <t>No premium tier advertised</t>
  </si>
  <si>
    <t>Stargazer upload/profile perks</t>
  </si>
  <si>
    <t>Paid own lobby/custom</t>
  </si>
  <si>
    <t>No current paid cosmetic subscription</t>
  </si>
  <si>
    <t>Self-Hosting Minimum Hardware (RAM / CPU per 100 users)</t>
  </si>
  <si>
    <t>Varies by homeserver implementation/workload</t>
  </si>
  <si>
    <t>Varies; modest for small teams; official sizing depends deployment</t>
  </si>
  <si>
    <t>Varies; official sizing guides available</t>
  </si>
  <si>
    <t>Varies by deployment</t>
  </si>
  <si>
    <t>Operator hardware</t>
  </si>
  <si>
    <t>Relay resource dependent</t>
  </si>
  <si>
    <t>Relay ~modest VPS; developer reports very high connection capacity</t>
  </si>
  <si>
    <t>≈2 CPU cores / 4 GB RAM for a small instance (developer report)</t>
  </si>
  <si>
    <t>Self-Hosting Hardware Requirements (1,000+ users)</t>
  </si>
  <si>
    <t>Varies</t>
  </si>
  <si>
    <t>Financial Longevity / Abandonment Risk</t>
  </si>
  <si>
    <t>Very early alpha; sustainability depends on adoption/subscriptions</t>
  </si>
  <si>
    <t>Protocol longevity supported by open standard + multi-vendor ecosystem; individual providers vary</t>
  </si>
  <si>
    <t>Volunteer-project continuity risk higher than established vendors</t>
  </si>
  <si>
    <t>Long-running mature open-source project</t>
  </si>
  <si>
    <t>Mature long-lived commercial product</t>
  </si>
  <si>
    <t>Established open-source + commercial support model</t>
  </si>
  <si>
    <t>Established enterprise/open-source vendor</t>
  </si>
  <si>
    <t>Founder states no investors; long-running voice-hosting background</t>
  </si>
  <si>
    <t>Small hobby project; continuity depends on maintainers/donations</t>
  </si>
  <si>
    <t>Early-stage</t>
  </si>
  <si>
    <t>Experimental project risk</t>
  </si>
  <si>
    <t>Active company/product</t>
  </si>
  <si>
    <t>Business funded by licenses/hosting</t>
  </si>
  <si>
    <t>Early volunteer project</t>
  </si>
  <si>
    <t>Experimental project</t>
  </si>
  <si>
    <t>Early but architecture minimizes central hosting dependence</t>
  </si>
  <si>
    <t>Solo-project sustainability risk</t>
  </si>
  <si>
    <t>Active solo-led open-source project</t>
  </si>
  <si>
    <t>Early private product</t>
  </si>
  <si>
    <t>Early project</t>
  </si>
  <si>
    <t>Early product</t>
  </si>
  <si>
    <t>Open-source + optional subscription support</t>
  </si>
  <si>
    <t>Early solo project</t>
  </si>
  <si>
    <t>Active/self-funded but solo-developer bus factor is the main sustainability risk</t>
  </si>
  <si>
    <t>Revenue Mix &amp; Pricing Transparency</t>
  </si>
  <si>
    <t>No current revenue; funding comes from developer's other businesses/services and employment</t>
  </si>
  <si>
    <t>Free Hosted Tier / Free Use</t>
  </si>
  <si>
    <t>User Subscription Model</t>
  </si>
  <si>
    <t>No current user subscription</t>
  </si>
  <si>
    <t>Community / Server Subscription</t>
  </si>
  <si>
    <t>No current community/server subscription</t>
  </si>
  <si>
    <t>Paid Self-Host License / Support</t>
  </si>
  <si>
    <t>No — MIT self-hosting</t>
  </si>
  <si>
    <t>Enterprise / Custom Quote</t>
  </si>
  <si>
    <t>No current enterprise/custom quote tier</t>
  </si>
  <si>
    <t>Advertising / Sponsored Content Revenue</t>
  </si>
  <si>
    <t>Yes — sponsored Quests/formats</t>
  </si>
  <si>
    <t>Protocol: N/A / provider-dependent</t>
  </si>
  <si>
    <t>No ad-funded model</t>
  </si>
  <si>
    <t>No current advertising/sponsored revenue reported</t>
  </si>
  <si>
    <t>Donations / Sponsorship</t>
  </si>
  <si>
    <t>Yes — donations</t>
  </si>
  <si>
    <t>Foundation donations/sponsorship</t>
  </si>
  <si>
    <t>No donation model verified</t>
  </si>
  <si>
    <t>No donation model reported as primary funding</t>
  </si>
  <si>
    <t>Free Plan / Free Use Available?</t>
  </si>
  <si>
    <t>Public Paid Options Count</t>
  </si>
  <si>
    <t>Active Fixed-Price Options Count</t>
  </si>
  <si>
    <t>Contact-Sales / Quote Options Count</t>
  </si>
  <si>
    <t>2</t>
  </si>
  <si>
    <t>Lowest Public Monthly Price</t>
  </si>
  <si>
    <t>$2.99</t>
  </si>
  <si>
    <t>$4.99</t>
  </si>
  <si>
    <t>$3.50</t>
  </si>
  <si>
    <t>$2.00</t>
  </si>
  <si>
    <t>$7.00</t>
  </si>
  <si>
    <t>$6.00</t>
  </si>
  <si>
    <t>Lowest Public Annual Price</t>
  </si>
  <si>
    <t>$29.99</t>
  </si>
  <si>
    <t>$49.99</t>
  </si>
  <si>
    <t>$53.99</t>
  </si>
  <si>
    <t>$80.04</t>
  </si>
  <si>
    <t>$15.00</t>
  </si>
  <si>
    <t>$70.00</t>
  </si>
  <si>
    <t>Has User-Level Subscription?</t>
  </si>
  <si>
    <t>Has Community / Server Plan?</t>
  </si>
  <si>
    <t>Has Paid Self-Host License?</t>
  </si>
  <si>
    <t>Has Enterprise / Custom Quote Tier?</t>
  </si>
  <si>
    <t>Primary Billing Model</t>
  </si>
  <si>
    <t>Free / self-funded today; monetization TBD</t>
  </si>
  <si>
    <t>Paid Option Names</t>
  </si>
  <si>
    <t>Pricing Source / Notes</t>
  </si>
  <si>
    <t>https://support.discord.com/hc/en-us/articles/4407269525911-Localized-Pricing-on-Discord</t>
  </si>
  <si>
    <t>https://fenrid.com/waitlist</t>
  </si>
  <si>
    <t>https://support.teamspeak.com/hc/en-us/articles/26033099878045-Current-Community-Options; https://support.teamspeak.com/hc/en-us/articles/26033788383261-What-licenses-are-available</t>
  </si>
  <si>
    <t>https://mattermost.com/pricing/; https://mattermost.com/support/</t>
  </si>
  <si>
    <t>https://docs.rocket.chat/our-plans</t>
  </si>
  <si>
    <t>https://gamevox.com/blog/gamevox-vs-discord/; https://gamevox.com/self-hosted/</t>
  </si>
  <si>
    <t>https://yapper.gg/pricing</t>
  </si>
  <si>
    <t>https://valour.gg/faq/</t>
  </si>
  <si>
    <t>Self-host infrastructure is operator-controlled; official service uses OVH core, Backblaze storage and Hivelocity/other LiveKit regions per developer report</t>
  </si>
  <si>
    <t>Additional Monetization Signals</t>
  </si>
  <si>
    <t>Advertising / Sponsored Content?</t>
  </si>
  <si>
    <t>Protocol N/A / provider-dependent</t>
  </si>
  <si>
    <t>Donation / Sponsorship Funding?</t>
  </si>
  <si>
    <t>Yes — foundation support</t>
  </si>
  <si>
    <t>Marketplace / App Revenue?</t>
  </si>
  <si>
    <t>Yes — Premium Apps / creator monetization</t>
  </si>
  <si>
    <t>Paid marketplace apps</t>
  </si>
  <si>
    <t>No current marketplace revenue</t>
  </si>
  <si>
    <t>Free Self-Hosting Software?</t>
  </si>
  <si>
    <t>Yes — community edition</t>
  </si>
  <si>
    <t>Community edition / current licensing conditions</t>
  </si>
  <si>
    <t>Yes — MIT</t>
  </si>
  <si>
    <t>Platform</t>
  </si>
  <si>
    <t>Option Type</t>
  </si>
  <si>
    <t>Paid Option / Tier</t>
  </si>
  <si>
    <t>Status</t>
  </si>
  <si>
    <t>Monthly Price</t>
  </si>
  <si>
    <t>6-Month Price</t>
  </si>
  <si>
    <t>Annual Price</t>
  </si>
  <si>
    <t>Currency</t>
  </si>
  <si>
    <t>Billing Basis</t>
  </si>
  <si>
    <t>Who Gets the Benefit?</t>
  </si>
  <si>
    <t>Included / Requires</t>
  </si>
  <si>
    <t>Key Perks / Limits</t>
  </si>
  <si>
    <t>Source URL</t>
  </si>
  <si>
    <t>Last Checked</t>
  </si>
  <si>
    <t>Notes</t>
  </si>
  <si>
    <t>Evidence Status</t>
  </si>
  <si>
    <t>User subscription</t>
  </si>
  <si>
    <t>Nitro Basic</t>
  </si>
  <si>
    <t>2.99</t>
  </si>
  <si>
    <t>29.99</t>
  </si>
  <si>
    <t>USD</t>
  </si>
  <si>
    <t>Personal account</t>
  </si>
  <si>
    <t>50 MB uploads; global custom emoji/stickers; Super Reactions; video backgrounds; badge</t>
  </si>
  <si>
    <t>Localized pricing exists; USD shown for comparison.</t>
  </si>
  <si>
    <t>Primary / first-party source recorded</t>
  </si>
  <si>
    <t>9.99</t>
  </si>
  <si>
    <t>99.99</t>
  </si>
  <si>
    <t>Includes 2 Server Boosts</t>
  </si>
  <si>
    <t>500 MB uploads; HD streaming; profile customization; themes; 200 servers; 4,000-char messages</t>
  </si>
  <si>
    <t>Current full Nitro plan.</t>
  </si>
  <si>
    <t>Server add-on</t>
  </si>
  <si>
    <t>Server Boost</t>
  </si>
  <si>
    <t>4.99</t>
  </si>
  <si>
    <t>49.99</t>
  </si>
  <si>
    <t>Per boost</t>
  </si>
  <si>
    <t>One server</t>
  </si>
  <si>
    <t>Nitro includes 2 boosts; Nitro gets 30% off extra boosts</t>
  </si>
  <si>
    <t>Contributes to server-wide boost levels and additional server perks</t>
  </si>
  <si>
    <t>Each boost is a separate recurring subscription.</t>
  </si>
  <si>
    <t>Legacy user subscription</t>
  </si>
  <si>
    <t>Nitro Classic</t>
  </si>
  <si>
    <t>Grandfathered / not sold to new subscribers</t>
  </si>
  <si>
    <t>Legacy Nitro feature set; retained only by eligible existing subscribers</t>
  </si>
  <si>
    <t>No longer available to new subscribers.</t>
  </si>
  <si>
    <t>No public paid tier</t>
  </si>
  <si>
    <t>No public fixed-price paid tier verified</t>
  </si>
  <si>
    <t>https://stoat.chat/</t>
  </si>
  <si>
    <t>Hosted service/self-host project; no fixed paid subscription verified.</t>
  </si>
  <si>
    <t>Planned subscription</t>
  </si>
  <si>
    <t>Surge</t>
  </si>
  <si>
    <t>Coming soon</t>
  </si>
  <si>
    <t>User/community plan</t>
  </si>
  <si>
    <t>Essential tools for small communities</t>
  </si>
  <si>
    <t>Fenrid is in alpha; pricing and benefits may change before launch.</t>
  </si>
  <si>
    <t>Flare</t>
  </si>
  <si>
    <t>Extras for growing communities</t>
  </si>
  <si>
    <t>Prime</t>
  </si>
  <si>
    <t>24.99</t>
  </si>
  <si>
    <t>Large communities, creators and power users</t>
  </si>
  <si>
    <t>500 MB uploads; 4K60 streaming; per-community profile; cosmetics; 200 communities; 4,000-char messages</t>
  </si>
  <si>
    <t>Optional; Fluxer remains usable for free.</t>
  </si>
  <si>
    <t>USD / in-app</t>
  </si>
  <si>
    <t>Includes 1 Core each month</t>
  </si>
  <si>
    <t>Up to 1440p60 streaming; supporter badge; 1 community Core monthly</t>
  </si>
  <si>
    <t>Root documents monthly and yearly billing, but the current price is shown in-app rather than publicly on the help page.</t>
  </si>
  <si>
    <t>Protocol-level pricing</t>
  </si>
  <si>
    <t>No Matrix-wide paid tier</t>
  </si>
  <si>
    <t>Homeserver/client provider</t>
  </si>
  <si>
    <t>Matrix itself has no universal subscription; clients and homeserver providers set their own pricing</t>
  </si>
  <si>
    <t>https://matrix.org/</t>
  </si>
  <si>
    <t>Do not attribute Element or another provider's pricing to Matrix.</t>
  </si>
  <si>
    <t>No central paid tier</t>
  </si>
  <si>
    <t>Self-hosted</t>
  </si>
  <si>
    <t>Operator</t>
  </si>
  <si>
    <t>Open-source/self-hosted software; operator pays infrastructure</t>
  </si>
  <si>
    <t>No central subscription model.</t>
  </si>
  <si>
    <t>No platform paid tier</t>
  </si>
  <si>
    <t>No Mumble subscription</t>
  </si>
  <si>
    <t>Open-source/self-hosted</t>
  </si>
  <si>
    <t>Mumble is free/open source; third-party hosting providers set their own prices</t>
  </si>
  <si>
    <t>Third-party hosted-server pricing is not a Mumble platform tier.</t>
  </si>
  <si>
    <t>Hosted community plan</t>
  </si>
  <si>
    <t>Crew</t>
  </si>
  <si>
    <t>53.99</t>
  </si>
  <si>
    <t>Per hosted community</t>
  </si>
  <si>
    <t>One TeamSpeak Community server</t>
  </si>
  <si>
    <t>11 hosted slots total (10 + 1 bonus); official managed TS6 hosting with screen sharing</t>
  </si>
  <si>
    <t>Hosted by TeamSpeak.</t>
  </si>
  <si>
    <t>Team</t>
  </si>
  <si>
    <t>8.99</t>
  </si>
  <si>
    <t>96.99</t>
  </si>
  <si>
    <t>27 hosted slots total (25 + 2 bonus); official managed TS6 hosting with screen sharing</t>
  </si>
  <si>
    <t>Faction</t>
  </si>
  <si>
    <t>17.99</t>
  </si>
  <si>
    <t>194.99</t>
  </si>
  <si>
    <t>64 hosted slots total (60 + 4 bonus); official managed TS6 hosting with screen sharing</t>
  </si>
  <si>
    <t>Self-host license</t>
  </si>
  <si>
    <t>Gamer / Activation 64 slots</t>
  </si>
  <si>
    <t>55</t>
  </si>
  <si>
    <t>Per self-host license</t>
  </si>
  <si>
    <t>Non-commercial / personal self-host</t>
  </si>
  <si>
    <t>64 slots; 1 virtual server</t>
  </si>
  <si>
    <t>https://support.teamspeak.com/hc/en-us/articles/26033788383261-What-licenses-are-available</t>
  </si>
  <si>
    <t>6-month price is unavailable for 64 slots; 6-month orders are manual for eligible slot tiers.</t>
  </si>
  <si>
    <t>Gamer / Activation 128 slots</t>
  </si>
  <si>
    <t>128 slots; 2 virtual servers</t>
  </si>
  <si>
    <t>Gamer / Activation 256 slots</t>
  </si>
  <si>
    <t>87.50</t>
  </si>
  <si>
    <t>175</t>
  </si>
  <si>
    <t>256 slots; 2 virtual servers</t>
  </si>
  <si>
    <t>Gamer / Activation 512 slots</t>
  </si>
  <si>
    <t>150</t>
  </si>
  <si>
    <t>300</t>
  </si>
  <si>
    <t>512 slots; 2 virtual servers</t>
  </si>
  <si>
    <t>Gamer / Activation 1024 slots</t>
  </si>
  <si>
    <t>250</t>
  </si>
  <si>
    <t>1024 slots; 2 virtual servers</t>
  </si>
  <si>
    <t>Self-host commercial license</t>
  </si>
  <si>
    <t>Commercial License</t>
  </si>
  <si>
    <t>Contact sales</t>
  </si>
  <si>
    <t>USD / quote</t>
  </si>
  <si>
    <t>Custom</t>
  </si>
  <si>
    <t>Commercial self-host deployment</t>
  </si>
  <si>
    <t>Commercial self-hosting terms tailored to deployment/capacity</t>
  </si>
  <si>
    <t>SDK license</t>
  </si>
  <si>
    <t>TeamSpeak SDK License</t>
  </si>
  <si>
    <t>Embedded voice SDK</t>
  </si>
  <si>
    <t>Integrate TeamSpeak voice technology into another product</t>
  </si>
  <si>
    <t>Cloud subscription</t>
  </si>
  <si>
    <t>Cloud Standard</t>
  </si>
  <si>
    <t>8.00</t>
  </si>
  <si>
    <t>80.04</t>
  </si>
  <si>
    <t>Cloud organization</t>
  </si>
  <si>
    <t>Unlimited search history; 5 GB/user; retention policies; branding; commercial support</t>
  </si>
  <si>
    <t>Annual equivalent shown where Zulip publishes annual per-user pricing.</t>
  </si>
  <si>
    <t>Cloud Plus</t>
  </si>
  <si>
    <t>12.00</t>
  </si>
  <si>
    <t>120.00</t>
  </si>
  <si>
    <t>Per user; 10-user minimum</t>
  </si>
  <si>
    <t>25 GB/user; SAML SSO; SCIM; custom domain; priority support</t>
  </si>
  <si>
    <t>Self-host support subscription</t>
  </si>
  <si>
    <t>Self-hosted Basic</t>
  </si>
  <si>
    <t>3.50</t>
  </si>
  <si>
    <t>Self-hosted organization/server</t>
  </si>
  <si>
    <t>Unlimited mobile push notifications; supports Zulip development</t>
  </si>
  <si>
    <t>Self-hosted Business</t>
  </si>
  <si>
    <t>Per user; 25-user minimum</t>
  </si>
  <si>
    <t>Commercial support; SSO/LDAP; guests; exports; retention policies</t>
  </si>
  <si>
    <t>Self-host enterprise support</t>
  </si>
  <si>
    <t>Self-hosted Enterprise</t>
  </si>
  <si>
    <t>Phone support; SCIM; implementation consulting; custom feature development; advanced deployments</t>
  </si>
  <si>
    <t>Annual enterprise subscription</t>
  </si>
  <si>
    <t>Professional</t>
  </si>
  <si>
    <t>Annual seat license</t>
  </si>
  <si>
    <t>Activated users / server</t>
  </si>
  <si>
    <t>Team collaboration; maximum 250 users; professional support</t>
  </si>
  <si>
    <t>https://mattermost.com/pricing/</t>
  </si>
  <si>
    <t>Paid licenses are prepaid annual subscriptions based on seats.</t>
  </si>
  <si>
    <t>Enterprise</t>
  </si>
  <si>
    <t>Secure collaborative workflows; AI; HA; enterprise search; scale</t>
  </si>
  <si>
    <t>Enterprise Advanced</t>
  </si>
  <si>
    <t>Multi-domain secure operations; advanced mobile/security/resiliency</t>
  </si>
  <si>
    <t>Support add-on</t>
  </si>
  <si>
    <t>Premier Support</t>
  </si>
  <si>
    <t>Paid add-on / contact sales</t>
  </si>
  <si>
    <t>Add-on</t>
  </si>
  <si>
    <t>Enterprise / Enterprise Advanced customers</t>
  </si>
  <si>
    <t>Requires eligible Enterprise plan</t>
  </si>
  <si>
    <t>Accelerated incident response; senior support; private support channel; extra non-production licenses</t>
  </si>
  <si>
    <t>https://mattermost.com/support/</t>
  </si>
  <si>
    <t>Premium enterprise plan</t>
  </si>
  <si>
    <t>Commercial</t>
  </si>
  <si>
    <t>Quote</t>
  </si>
  <si>
    <t>Enterprise deployment</t>
  </si>
  <si>
    <t>On-prem/private cloud/isolated commercial deployment</t>
  </si>
  <si>
    <t>Starter and Community are free entry points.</t>
  </si>
  <si>
    <t>Government</t>
  </si>
  <si>
    <t>Government / sovereign-cloud deployment</t>
  </si>
  <si>
    <t>Defense</t>
  </si>
  <si>
    <t>Air-gapped / SCIF-ready / defense deployment</t>
  </si>
  <si>
    <t>Hosted server tier</t>
  </si>
  <si>
    <t>Silver</t>
  </si>
  <si>
    <t>Per server</t>
  </si>
  <si>
    <t>Entire server/community</t>
  </si>
  <si>
    <t>1 GB uploads; 200 members; 9 voice channels</t>
  </si>
  <si>
    <t>One server payment benefits all members.</t>
  </si>
  <si>
    <t>Gold</t>
  </si>
  <si>
    <t>2 GB uploads; 500 members; 1080p60 streaming</t>
  </si>
  <si>
    <t>19.99</t>
  </si>
  <si>
    <t>10 GB uploads; unlimited members; up to 4K60 / top-tier features</t>
  </si>
  <si>
    <t>Self-Hosted Server License</t>
  </si>
  <si>
    <t>2.00</t>
  </si>
  <si>
    <t>15.00</t>
  </si>
  <si>
    <t>Per self-hosted server</t>
  </si>
  <si>
    <t>Self-host deployment</t>
  </si>
  <si>
    <t>Includes Diamond-tier features</t>
  </si>
  <si>
    <t>Self-host GameVox on your own hardware; data remains on your machine</t>
  </si>
  <si>
    <t>https://gamevox.com/self-hosted/</t>
  </si>
  <si>
    <t>The free-before-July-1-2026 grandfathering period has passed; current new-license price is $2/mo or $15/yr.</t>
  </si>
  <si>
    <t>No paid subscription verified</t>
  </si>
  <si>
    <t>Donation-supported</t>
  </si>
  <si>
    <t>Hosted service</t>
  </si>
  <si>
    <t>No fixed premium subscription verified</t>
  </si>
  <si>
    <t>https://osmium.chat/</t>
  </si>
  <si>
    <t>No reliable current paid-plan schedule found.</t>
  </si>
  <si>
    <t>Hosted / self-host project</t>
  </si>
  <si>
    <t>https://loqa.chat/</t>
  </si>
  <si>
    <t>Open beta; no public fixed-price paid tier verified.</t>
  </si>
  <si>
    <t>https://venta.gg/</t>
  </si>
  <si>
    <t>Architecture and monetization are still evolving.</t>
  </si>
  <si>
    <t>No paid communication tier</t>
  </si>
  <si>
    <t>No premium communication subscription</t>
  </si>
  <si>
    <t>Free service</t>
  </si>
  <si>
    <t>All users</t>
  </si>
  <si>
    <t>Official FAQ states communication features are free with no premium plan/paywall</t>
  </si>
  <si>
    <t>https://kloak.app/</t>
  </si>
  <si>
    <t>No public pricing page verified.</t>
  </si>
  <si>
    <t>Managed hosting</t>
  </si>
  <si>
    <t>Active / promotional</t>
  </si>
  <si>
    <t>45.00 promo / 90.00 regular</t>
  </si>
  <si>
    <t>EUR</t>
  </si>
  <si>
    <t>Hosted server up to 100 users</t>
  </si>
  <si>
    <t>7-day hosted trial</t>
  </si>
  <si>
    <t>10 GB storage; up to 10 Mbps; unlimited voice/text channels; proximity voice; up to 1440p screen share</t>
  </si>
  <si>
    <t>€45/year promotional price shown through Jan 31, 2027; regular annual price €90. Self-host license is free and is not a paid tier.</t>
  </si>
  <si>
    <t>Open-source/self-host</t>
  </si>
  <si>
    <t>No central subscription model</t>
  </si>
  <si>
    <t>Fermi is a client, not the platform.</t>
  </si>
  <si>
    <t>No Roomy-specific paid tier</t>
  </si>
  <si>
    <t>No paid Roomy subscription verified</t>
  </si>
  <si>
    <t>Open-source / ATProto</t>
  </si>
  <si>
    <t>ATProto/PDS provider costs may exist, but are not Roomy subscription tiers</t>
  </si>
  <si>
    <t>No Armada subscription</t>
  </si>
  <si>
    <t>Open-source / relay ecosystem</t>
  </si>
  <si>
    <t>Relay/provider</t>
  </si>
  <si>
    <t>Relay hosting may cost money; no central Armada subscription</t>
  </si>
  <si>
    <t>No Hollow subscription</t>
  </si>
  <si>
    <t>Open-source / self-host relay</t>
  </si>
  <si>
    <t>No central paid tier verified</t>
  </si>
  <si>
    <t>No DCTS subscription</t>
  </si>
  <si>
    <t>AGPL self-host / community-supported</t>
  </si>
  <si>
    <t>No fixed paid hosted tier verified</t>
  </si>
  <si>
    <t>https://dcts.community/</t>
  </si>
  <si>
    <t>Rift+</t>
  </si>
  <si>
    <t>7.00</t>
  </si>
  <si>
    <t>70.00</t>
  </si>
  <si>
    <t>1080p60; 128 kbps + high fidelity; 300 MB uploads; 16k messages; extra cosmetics/layouts</t>
  </si>
  <si>
    <t>Personal tier; travels with the user.</t>
  </si>
  <si>
    <t>Community subscription</t>
  </si>
  <si>
    <t>Shard Ember</t>
  </si>
  <si>
    <t>10.00</t>
  </si>
  <si>
    <t>Per community / Shard</t>
  </si>
  <si>
    <t>Entire community</t>
  </si>
  <si>
    <t>75 MB/member uploads; 128 kbps; 1080p; 30 emoji; 25 soundboard; onboarding; 15 webhooks</t>
  </si>
  <si>
    <t>One member pays; whole Shard benefits.</t>
  </si>
  <si>
    <t>25.00</t>
  </si>
  <si>
    <t>100 MB/member uploads; 192 kbps; 1440p; 100 emoji; 75 soundboard; advanced analytics; 30 webhooks</t>
  </si>
  <si>
    <t>Open-source beta</t>
  </si>
  <si>
    <t>Hosted / self-host</t>
  </si>
  <si>
    <t>No fixed premium tier verified</t>
  </si>
  <si>
    <t>https://echon-voice.com/</t>
  </si>
  <si>
    <t>Supporter subscription</t>
  </si>
  <si>
    <t>Active / optional; price not publicly verified</t>
  </si>
  <si>
    <t>Larger upload limits and profile flair; helps fund the platform</t>
  </si>
  <si>
    <t>Current public price not verified.</t>
  </si>
  <si>
    <t>Lobby subscription</t>
  </si>
  <si>
    <t>Run your own</t>
  </si>
  <si>
    <t>6.00</t>
  </si>
  <si>
    <t>Per lobby</t>
  </si>
  <si>
    <t>Lobby owner/community</t>
  </si>
  <si>
    <t>Create and operate your own lobby with rooms, roles, role icons, branding and moderation</t>
  </si>
  <si>
    <t>Using existing public lobbies is free.</t>
  </si>
  <si>
    <t>Custom community build</t>
  </si>
  <si>
    <t>Have it built — Crew</t>
  </si>
  <si>
    <t>Per community build</t>
  </si>
  <si>
    <t>Custom hosted community</t>
  </si>
  <si>
    <t>Up to 250 members; bots rebuilt as native features; branding/domain; voice/video; co-watch; events/brackets</t>
  </si>
  <si>
    <t>Quoted by community size; first ten builds have special founding terms.</t>
  </si>
  <si>
    <t>Have it built — League</t>
  </si>
  <si>
    <t>Up to 1,000 members; bots rebuilt as native features; branding/domain; voice/video; co-watch; events/brackets</t>
  </si>
  <si>
    <t>Have it built — Network</t>
  </si>
  <si>
    <t>Up to 5,000 members; bots rebuilt as native features; branding/domain; voice/video; co-watch; events/brackets</t>
  </si>
  <si>
    <t>Have it built — Larger</t>
  </si>
  <si>
    <t>Custom size / dedicated infrastructure; bots rebuilt as native features; branding/domain; voice/video; co-watch; events/brackets</t>
  </si>
  <si>
    <t>Profile &amp; Cosmetic Entitlements</t>
  </si>
  <si>
    <t>Animated Avatar Available?</t>
  </si>
  <si>
    <t>Unknown/not separately documented</t>
  </si>
  <si>
    <t>Animated Avatar Access</t>
  </si>
  <si>
    <t>Rift+ / entitlement details vary</t>
  </si>
  <si>
    <t>Profile Banner Available?</t>
  </si>
  <si>
    <t>Profile Banner Access</t>
  </si>
  <si>
    <t>Rift+ adds animated/profile cosmetics</t>
  </si>
  <si>
    <t>Custom Themes Available?</t>
  </si>
  <si>
    <t>Planned / Yes</t>
  </si>
  <si>
    <t>Yes / add-on ecosystem</t>
  </si>
  <si>
    <t>Yes / community themes</t>
  </si>
  <si>
    <t>Yes / client-controlled</t>
  </si>
  <si>
    <t>Yes — developer reports custom CSS/theme support</t>
  </si>
  <si>
    <t>Custom Themes Access</t>
  </si>
  <si>
    <t>Paid tiers planned to expand themes</t>
  </si>
  <si>
    <t>Free / open-source theming; Plutonium includes additional cosmetics</t>
  </si>
  <si>
    <t>Self-host/client controlled</t>
  </si>
  <si>
    <t>Client/add-on ecosystem</t>
  </si>
  <si>
    <t>Core app themes; not a cosmetic subscription model</t>
  </si>
  <si>
    <t>Core/client capability</t>
  </si>
  <si>
    <t>Deployment/admin capability</t>
  </si>
  <si>
    <t>Free/open-source/community</t>
  </si>
  <si>
    <t>Open-source client</t>
  </si>
  <si>
    <t>Rift+ adds animated themes/accents</t>
  </si>
  <si>
    <t>Themes marketplace/core</t>
  </si>
  <si>
    <t>Free/current; no paid tier</t>
  </si>
  <si>
    <t>Per-Community Profile Available?</t>
  </si>
  <si>
    <t>Client/protocol-extension dependent</t>
  </si>
  <si>
    <t>Per-Community Profile Access</t>
  </si>
  <si>
    <t>Paid — Nitro for expanded customization</t>
  </si>
  <si>
    <t>Emoji / Sticker / Soundboard Entitlements</t>
  </si>
  <si>
    <t>Custom Emoji Available?</t>
  </si>
  <si>
    <t>Client/room-state dependent</t>
  </si>
  <si>
    <t>Yes / Discord-compatible target</t>
  </si>
  <si>
    <t>Custom Emoji Access</t>
  </si>
  <si>
    <t>Free within owning server; cross-server use is a Nitro perk</t>
  </si>
  <si>
    <t>Free base; higher limits planned on paid tiers</t>
  </si>
  <si>
    <t>Free in own community; Plutonium expands global use/limits</t>
  </si>
  <si>
    <t>0 free → up to 500 Diamond</t>
  </si>
  <si>
    <t>Open-beta/core</t>
  </si>
  <si>
    <t>10 free Shard → 30 Ember → 100 Forge; personal 10 free → 30 Rift+</t>
  </si>
  <si>
    <t>Animated Emoji Available?</t>
  </si>
  <si>
    <t>Not separately documented</t>
  </si>
  <si>
    <t>Animated Emoji Access</t>
  </si>
  <si>
    <t>Server-dependent creation; Nitro expands use</t>
  </si>
  <si>
    <t>Plutonium expands use</t>
  </si>
  <si>
    <t>Custom Stickers Available?</t>
  </si>
  <si>
    <t>Custom Stickers Access</t>
  </si>
  <si>
    <t>Server-dependent; Nitro expands cross-server use</t>
  </si>
  <si>
    <t>Personal Soundboard Available?</t>
  </si>
  <si>
    <t>Personal Soundboard Access</t>
  </si>
  <si>
    <t>Server Soundboard Available?</t>
  </si>
  <si>
    <t>Server Soundboard Access</t>
  </si>
  <si>
    <t>Free base slots; more slots with Server Boost level</t>
  </si>
  <si>
    <t>8 free → 48 Diamond</t>
  </si>
  <si>
    <t>10 free Shard → 25 Ember → 75 Forge; personal 5 free → 25 Rift+</t>
  </si>
  <si>
    <t>Community Premium Features</t>
  </si>
  <si>
    <t>Vanity Invite Available?</t>
  </si>
  <si>
    <t>Vanity Invite Access</t>
  </si>
  <si>
    <t>Server Boost Level 3 / eligible communities</t>
  </si>
  <si>
    <t>Higher Voice Bitrate Paid?</t>
  </si>
  <si>
    <t>Yes — Server Boost levels</t>
  </si>
  <si>
    <t>Provider/client-dependent</t>
  </si>
  <si>
    <t>No platform subscription; operator-configurable</t>
  </si>
  <si>
    <t>No platform tier; server-configurable</t>
  </si>
  <si>
    <t>Server/license/provider-dependent</t>
  </si>
  <si>
    <t>Yes — higher tiers</t>
  </si>
  <si>
    <t>No — no premium plan</t>
  </si>
  <si>
    <t>License/server resources rather than per-user premium</t>
  </si>
  <si>
    <t>No central premium tier</t>
  </si>
  <si>
    <t>No central premium tier; operator-configurable</t>
  </si>
  <si>
    <t>Yes — 96 free → 128 Rift+/Ember → 192 Forge</t>
  </si>
  <si>
    <t>No — core media available to users</t>
  </si>
  <si>
    <t>No — channel/user-selectable voice quality exists without a paid tier</t>
  </si>
  <si>
    <t>Higher Screen Share Quality Paid?</t>
  </si>
  <si>
    <t>Yes — Nitro</t>
  </si>
  <si>
    <t>Planned paid differentiation</t>
  </si>
  <si>
    <t>Yes — Plutonium</t>
  </si>
  <si>
    <t>Yes — Sudo</t>
  </si>
  <si>
    <t>Yes — Gold/Diamond</t>
  </si>
  <si>
    <t>No paid tier verified</t>
  </si>
  <si>
    <t>No paid tier verified — 1080p free</t>
  </si>
  <si>
    <t>No core quality paywall verified</t>
  </si>
  <si>
    <t>No — documented screen-share quality presets are not paywalled</t>
  </si>
  <si>
    <t>Larger File Uploads Paid?</t>
  </si>
  <si>
    <t>Yes — Nitro Basic / Nitro</t>
  </si>
  <si>
    <t>Planned paid higher limits</t>
  </si>
  <si>
    <t>Yes — 25 MB free → 500 MB Plutonium</t>
  </si>
  <si>
    <t>No higher paid file cap verified</t>
  </si>
  <si>
    <t>Homeserver/provider-dependent</t>
  </si>
  <si>
    <t>Storage/history increase with paid cloud plans</t>
  </si>
  <si>
    <t>Deployment/admin configurable</t>
  </si>
  <si>
    <t>Yes — 500 MB free → 10 GB Diamond</t>
  </si>
  <si>
    <t>No paid tier; official 15 MB limit is developer-reported and self-host quotas are configurable</t>
  </si>
  <si>
    <t>Extra App / Bot Capacity Paid?</t>
  </si>
  <si>
    <t>No general Nitro requirement</t>
  </si>
  <si>
    <t>Yes / community Core model can affect hosted app capacity</t>
  </si>
  <si>
    <t>Enterprise/deployment-dependent</t>
  </si>
  <si>
    <t>No subscription paywall verified</t>
  </si>
  <si>
    <t>Webhook/community capacity increases by Shard tier</t>
  </si>
  <si>
    <t>Owning/customizing a lobby is paid</t>
  </si>
  <si>
    <t>No paid app/bot capacity tier documented</t>
  </si>
  <si>
    <t>Analytics Paid?</t>
  </si>
  <si>
    <t>No general Nitro requirement / community tools</t>
  </si>
  <si>
    <t>Advanced organization/admin capabilities vary by plan</t>
  </si>
  <si>
    <t>Yes — advanced enterprise analytics/admin features</t>
  </si>
  <si>
    <t>Enterprise/admin features vary by plan</t>
  </si>
  <si>
    <t>No premium communication tier</t>
  </si>
  <si>
    <t>Yes — Shard tiers add analytics</t>
  </si>
  <si>
    <t>No paid analytics tier documented</t>
  </si>
  <si>
    <t>Advanced Moderation Paid?</t>
  </si>
  <si>
    <t>No — core moderation/AutoMod is not a Nitro entitlement</t>
  </si>
  <si>
    <t>No evidence core moderation is Sudo-gated</t>
  </si>
  <si>
    <t>No — ACLs are core</t>
  </si>
  <si>
    <t>Core permissions available; enterprise options separate</t>
  </si>
  <si>
    <t>Some enterprise/admin functionality is plan-dependent</t>
  </si>
  <si>
    <t>Enterprise governance/compliance features paid</t>
  </si>
  <si>
    <t>Enterprise governance features vary by plan</t>
  </si>
  <si>
    <t>No — safety/moderation remains free</t>
  </si>
  <si>
    <t>No paid advanced-moderation tier documented</t>
  </si>
  <si>
    <t>Entitlement Notes</t>
  </si>
  <si>
    <t>Discord splits personal Nitro entitlements from server-wide Boost entitlements.</t>
  </si>
  <si>
    <t>Fenrid is alpha; tier benefits are planned and may change before stable release.</t>
  </si>
  <si>
    <t>Plutonium is primarily a personal premium tier; self-hosting remains free/open source.</t>
  </si>
  <si>
    <t>Sudo is user-level; Cores are community resources. They should not be conflated.</t>
  </si>
  <si>
    <t>Matrix has no universal paid tier. Entitlements belong to a homeserver provider or client vendor, not the protocol.</t>
  </si>
  <si>
    <t>Self-host operator sets limits; no central premium tier.</t>
  </si>
  <si>
    <t>No Nitro-style entitlement system.</t>
  </si>
  <si>
    <t>Paid model centers on server slots/licensing rather than per-user cosmetic entitlements.</t>
  </si>
  <si>
    <t>Paid tiers focus on history, storage, support, compliance and admin features rather than cosmetics.</t>
  </si>
  <si>
    <t>Paid differentiation is enterprise governance/workflow/support, not gaming cosmetics.</t>
  </si>
  <si>
    <t>Paid differentiation is commercial deployment/support/security rather than Nitro-style cosmetics.</t>
  </si>
  <si>
    <t>Premium tiers are server-wide; all members benefit from the selected server tier.</t>
  </si>
  <si>
    <t>Donation-funded; no premium entitlement tier verified.</t>
  </si>
  <si>
    <t>Public monetization/entitlement schedule is not sufficiently documented.</t>
  </si>
  <si>
    <t>Open beta; fixed premium entitlements not verified.</t>
  </si>
  <si>
    <t>Early project; premium feature gating not publicly defined.</t>
  </si>
  <si>
    <t>Official FAQ says communication features are free with no premium plan/paywall.</t>
  </si>
  <si>
    <t>No public premium entitlement schedule verified.</t>
  </si>
  <si>
    <t>Monetization is licensing/managed hosting, not Nitro-style cosmetics.</t>
  </si>
  <si>
    <t>Open-source/self-host model; no central premium entitlement system.</t>
  </si>
  <si>
    <t>No Roomy-specific paid entitlement system verified.</t>
  </si>
  <si>
    <t>No central paid entitlement system; relay/provider costs are separate.</t>
  </si>
  <si>
    <t>No central paid entitlement system; open-source/local-first.</t>
  </si>
  <si>
    <t>AGPL/self-host model; limits are operator/configuration concerns.</t>
  </si>
  <si>
    <t>Rift separates personal Rift+ entitlements from community-wide Shard Ember/Forge entitlements.</t>
  </si>
  <si>
    <t>Open-source beta; no fixed premium entitlement tier verified.</t>
  </si>
  <si>
    <t>Stargazer supporter subscription exists; current public price/caps were not verified.</t>
  </si>
  <si>
    <t>Using existing lobbies is free; operating your own lobby is the paid distinction.</t>
  </si>
  <si>
    <t>Core/self-host features are not split into paid tiers today</t>
  </si>
  <si>
    <t>Additional Entitlements</t>
  </si>
  <si>
    <t>Saved Layouts / Workspaces Available?</t>
  </si>
  <si>
    <t>No saved multi-panel workspace/layout system documented</t>
  </si>
  <si>
    <t>Saved Layouts / Workspaces Access</t>
  </si>
  <si>
    <t>Embedded Apps / Portals Available?</t>
  </si>
  <si>
    <t>Yes — Activities/apps</t>
  </si>
  <si>
    <t>Yes — Portals</t>
  </si>
  <si>
    <t>No embedded-app/Portal runtime documented</t>
  </si>
  <si>
    <t>Embedded Apps / Portals Access</t>
  </si>
  <si>
    <t>Many Activities free; app-specific monetization may apply</t>
  </si>
  <si>
    <t>Giveaways / Leveling Paid?</t>
  </si>
  <si>
    <t>Via third-party apps/bots; app pricing varies</t>
  </si>
  <si>
    <t>No — leveling stated free for every Shard; giveaways built in</t>
  </si>
  <si>
    <t>No native leveling/giveaway monetization system documented</t>
  </si>
  <si>
    <t>Lifecycle</t>
  </si>
  <si>
    <t>Revenue / Monetization Type</t>
  </si>
  <si>
    <t>Option / Mechanism</t>
  </si>
  <si>
    <t>Amount</t>
  </si>
  <si>
    <t>Cadence</t>
  </si>
  <si>
    <t>Charged To / Unit</t>
  </si>
  <si>
    <t>Benefit Scope</t>
  </si>
  <si>
    <t>Server / Community Upgrade?</t>
  </si>
  <si>
    <t>User Benefit?</t>
  </si>
  <si>
    <t>Current Availability</t>
  </si>
  <si>
    <t>Intended / Roadmap Change</t>
  </si>
  <si>
    <t>Current</t>
  </si>
  <si>
    <t>2.99/mo; 29.99/yr</t>
  </si>
  <si>
    <t>Monthly / annual as listed</t>
  </si>
  <si>
    <t>9.99/mo; 99.99/yr</t>
  </si>
  <si>
    <t>4.99/mo; 49.99/yr</t>
  </si>
  <si>
    <t>Legacy</t>
  </si>
  <si>
    <t>N/A / U/K</t>
  </si>
  <si>
    <t>Intended / Planned</t>
  </si>
  <si>
    <t>4.99/mo</t>
  </si>
  <si>
    <t>9.99/mo</t>
  </si>
  <si>
    <t>24.99/mo</t>
  </si>
  <si>
    <t>4.99/mo; 53.99/yr</t>
  </si>
  <si>
    <t>8.99/mo; 96.99/yr</t>
  </si>
  <si>
    <t>17.99/mo; 194.99/yr</t>
  </si>
  <si>
    <t>55/yr</t>
  </si>
  <si>
    <t>50/6mo; 100/yr</t>
  </si>
  <si>
    <t>87.50/6mo; 175/yr</t>
  </si>
  <si>
    <t>150/6mo; 300/yr</t>
  </si>
  <si>
    <t>250/6mo; 500/yr</t>
  </si>
  <si>
    <t>Contact Sales / Quote</t>
  </si>
  <si>
    <t>8.00/mo; 80.04/yr</t>
  </si>
  <si>
    <t>12.00/mo; 120.00/yr</t>
  </si>
  <si>
    <t>3.50/mo</t>
  </si>
  <si>
    <t>19.99/mo</t>
  </si>
  <si>
    <t>2.00/mo; 15.00/yr</t>
  </si>
  <si>
    <t>45.00 promo / 90.00 regular/yr</t>
  </si>
  <si>
    <t>7.00/mo; 70.00/yr</t>
  </si>
  <si>
    <t>10.00/mo</t>
  </si>
  <si>
    <t>25.00/mo</t>
  </si>
  <si>
    <t>6.00/mo</t>
  </si>
  <si>
    <t>Server / community upgrade</t>
  </si>
  <si>
    <t>Server Boost Level 1</t>
  </si>
  <si>
    <t>$9.98/mo at full $4.99/boost rate</t>
  </si>
  <si>
    <t>Monthly</t>
  </si>
  <si>
    <t>Entire server</t>
  </si>
  <si>
    <t>https://support.discord.com/hc/en-us/articles/360028038352-Server-Boosting-FAQ</t>
  </si>
  <si>
    <t>Requires 2 boosts. Full-price equivalent shown before Nitro included boosts or discounts.</t>
  </si>
  <si>
    <t>Server Boost Level 2</t>
  </si>
  <si>
    <t>$34.93/mo at full $4.99/boost rate</t>
  </si>
  <si>
    <t>Requires 7 boosts. Full-price equivalent shown before Nitro included boosts or discounts.</t>
  </si>
  <si>
    <t>Server Boost Level 3</t>
  </si>
  <si>
    <t>$69.86/mo at full $4.99/boost rate</t>
  </si>
  <si>
    <t>Requires 14 boosts. Full-price equivalent shown before Nitro included boosts or discounts.</t>
  </si>
  <si>
    <t>Community resource / upgrade</t>
  </si>
  <si>
    <t>Core</t>
  </si>
  <si>
    <t>Per Core / community resource</t>
  </si>
  <si>
    <t>Community</t>
  </si>
  <si>
    <t>Sudo includes 1 Core each month; standalone Core price is not publicly verified.</t>
  </si>
  <si>
    <t>Sponsored content</t>
  </si>
  <si>
    <t>Quests / sponsored formats</t>
  </si>
  <si>
    <t>USD / commercial</t>
  </si>
  <si>
    <t>Campaign / commercial</t>
  </si>
  <si>
    <t>Advertiser</t>
  </si>
  <si>
    <t>Platform-wide</t>
  </si>
  <si>
    <t>Users may receive sponsored content</t>
  </si>
  <si>
    <t>May expand as sponsored formats evolve</t>
  </si>
  <si>
    <t>Subscriptions, paid products and sponsored content fund Discord.</t>
  </si>
  <si>
    <t>Creator monetization infrastructure</t>
  </si>
  <si>
    <t>Server Subscriptions / Server Shop / Premium Apps</t>
  </si>
  <si>
    <t>Creator-set / varies</t>
  </si>
  <si>
    <t>USD / localized</t>
  </si>
  <si>
    <t>Buyer / server member</t>
  </si>
  <si>
    <t>Creator/server offering</t>
  </si>
  <si>
    <t>Optional paid creator content</t>
  </si>
  <si>
    <t>https://support.discord.com/hc/en-us/articles/5330075836311-Monetization-Terms</t>
  </si>
  <si>
    <t>Distinct from Discord own Nitro/Boost revenue.</t>
  </si>
  <si>
    <t>One-time / monthly / yearly donations</t>
  </si>
  <si>
    <t>Minimum 3 in selected currency</t>
  </si>
  <si>
    <t>Multiple</t>
  </si>
  <si>
    <t>One-time / monthly / yearly</t>
  </si>
  <si>
    <t>Donor</t>
  </si>
  <si>
    <t>Project funding</t>
  </si>
  <si>
    <t>No entitlement required</t>
  </si>
  <si>
    <t>Continue funding without VC/outside investors</t>
  </si>
  <si>
    <t>https://fluxer.app/donate</t>
  </si>
  <si>
    <t>Donation-funded service</t>
  </si>
  <si>
    <t>User-selected</t>
  </si>
  <si>
    <t>Donation</t>
  </si>
  <si>
    <t>No paid entitlement verified</t>
  </si>
  <si>
    <t>Homepage says Nerimity runs on donations.</t>
  </si>
  <si>
    <t>Foundation support</t>
  </si>
  <si>
    <t>Donations / organizational sponsorship</t>
  </si>
  <si>
    <t>User-selected / sponsorship</t>
  </si>
  <si>
    <t>One-time / recurring / sponsorship</t>
  </si>
  <si>
    <t>Donor / sponsor</t>
  </si>
  <si>
    <t>Protocol stewardship</t>
  </si>
  <si>
    <t>No protocol entitlement</t>
  </si>
  <si>
    <t>Continue neutral protocol stewardship</t>
  </si>
  <si>
    <t>https://matrix.org/contact/</t>
  </si>
  <si>
    <t>Separate from provider/client pricing.</t>
  </si>
  <si>
    <t>matrix.org homeserver usage plan</t>
  </si>
  <si>
    <t>Premium plan</t>
  </si>
  <si>
    <t>Price not finalized</t>
  </si>
  <si>
    <t>matrix.org account</t>
  </si>
  <si>
    <t>matrix.org homeserver account</t>
  </si>
  <si>
    <t>Higher attachment/data limits and faster invite rate</t>
  </si>
  <si>
    <t>Pricing will be published when usage plans become available</t>
  </si>
  <si>
    <t>https://matrix.org/homeserver/pricing/</t>
  </si>
  <si>
    <t>Only applies to matrix.org homeserver, not Matrix generally.</t>
  </si>
  <si>
    <t>Self-funding + donations</t>
  </si>
  <si>
    <t>No subscription entitlement</t>
  </si>
  <si>
    <t>Kloak states no subscriptions, ads or data harvesting</t>
  </si>
  <si>
    <t>https://kloak.app/about</t>
  </si>
  <si>
    <t>PayPal / Ko-fi donations</t>
  </si>
  <si>
    <t>No paid entitlement</t>
  </si>
  <si>
    <t>Current development donation-funded</t>
  </si>
  <si>
    <t>https://docs.dcts.community/</t>
  </si>
  <si>
    <t>Managed hosting / VPS systems</t>
  </si>
  <si>
    <t>Per instance / server</t>
  </si>
  <si>
    <t>Community/server</t>
  </si>
  <si>
    <t>Managed server for less-technical operators</t>
  </si>
  <si>
    <t>Hosting revenue intended to fund development</t>
  </si>
  <si>
    <t>https://docs.dcts.community/Lore/Principles</t>
  </si>
  <si>
    <t>Project donations</t>
  </si>
  <si>
    <t>Donations unlock nothing</t>
  </si>
  <si>
    <t>No paid plan stated</t>
  </si>
  <si>
    <t>Declared future policy</t>
  </si>
  <si>
    <t>No paywalls</t>
  </si>
  <si>
    <t>No premium tier</t>
  </si>
  <si>
    <t>All features open</t>
  </si>
  <si>
    <t>Declared</t>
  </si>
  <si>
    <t>Developer states Hollow will not have paywalls</t>
  </si>
  <si>
    <t>In-app economy</t>
  </si>
  <si>
    <t>Mezon Token / Mezon Dong payments</t>
  </si>
  <si>
    <t>Transaction-dependent</t>
  </si>
  <si>
    <t>Token / Mezon Dong</t>
  </si>
  <si>
    <t>Per transaction</t>
  </si>
  <si>
    <t>User / merchant</t>
  </si>
  <si>
    <t>Marketplace/economy</t>
  </si>
  <si>
    <t>Payments/transfers; communications stay free</t>
  </si>
  <si>
    <t>Marketplace/payment ecosystem may expand</t>
  </si>
  <si>
    <t>Platform transaction fee is U/K.</t>
  </si>
  <si>
    <t>Price U/K</t>
  </si>
  <si>
    <t>Recurring U/K</t>
  </si>
  <si>
    <t>Per user/supporter</t>
  </si>
  <si>
    <t>Larger uploads; profile flair</t>
  </si>
  <si>
    <t>Active / optional</t>
  </si>
  <si>
    <t>Support intended to help make Valour sustainable/full-time</t>
  </si>
  <si>
    <t>Premium / boost tiers</t>
  </si>
  <si>
    <t>Scope U/K</t>
  </si>
  <si>
    <t>Referenced as when active</t>
  </si>
  <si>
    <t>Paid premium/boost features are anticipated</t>
  </si>
  <si>
    <t>Current / infrastructure present</t>
  </si>
  <si>
    <t>Subscriptions / paid features</t>
  </si>
  <si>
    <t>Subscriptions, purchases and paid features</t>
  </si>
  <si>
    <t>Entitlement / store purchase</t>
  </si>
  <si>
    <t>Policy supports billing flows; live catalog U/K</t>
  </si>
  <si>
    <t>Paid surfaces/community-store transactions supported by policy</t>
  </si>
  <si>
    <t>Maximum Control Self-Hosting License</t>
  </si>
  <si>
    <t>No subscription</t>
  </si>
  <si>
    <t>Per self-host server</t>
  </si>
  <si>
    <t>Self-host server</t>
  </si>
  <si>
    <t>Full control / unlimited users</t>
  </si>
  <si>
    <t>License model funds development; current self-host license is $0</t>
  </si>
  <si>
    <t>Community build services</t>
  </si>
  <si>
    <t>Crew / League / Network / Larger custom builds</t>
  </si>
  <si>
    <t>Quoted</t>
  </si>
  <si>
    <t>Month-to-month</t>
  </si>
  <si>
    <t>Per community</t>
  </si>
  <si>
    <t>Custom bots/features, branding, domain, managed infra</t>
  </si>
  <si>
    <t>First 10 builds: fee waived and rate locked at least 12 months</t>
  </si>
  <si>
    <t>Priced by community size, not seats or boosts.</t>
  </si>
  <si>
    <t>Future monetization status</t>
  </si>
  <si>
    <t>No intended monetization publicly verified</t>
  </si>
  <si>
    <t>Not publicly announced</t>
  </si>
  <si>
    <t>Needs primary-source verification</t>
  </si>
  <si>
    <t>Current model</t>
  </si>
  <si>
    <t>Current monetization status</t>
  </si>
  <si>
    <t>No current paid monetization publicly verified</t>
  </si>
  <si>
    <t>Policy Scope / Service Model</t>
  </si>
  <si>
    <t>Terms Status / Effective</t>
  </si>
  <si>
    <t>User Owns Content?</t>
  </si>
  <si>
    <t>License Granted to Platform</t>
  </si>
  <si>
    <t>Platform Can Suspend / Terminate?</t>
  </si>
  <si>
    <t>Arbitration / Class Waiver</t>
  </si>
  <si>
    <t>Governing Law / Jurisdiction</t>
  </si>
  <si>
    <t>Paid Auto-Renew / Refund Terms</t>
  </si>
  <si>
    <t>Privacy Status / Effective</t>
  </si>
  <si>
    <t>Data Collected — General</t>
  </si>
  <si>
    <t>Sells Personal Data?</t>
  </si>
  <si>
    <t>Ads / Behavioral Tracking?</t>
  </si>
  <si>
    <t>AI / Model Training Policy</t>
  </si>
  <si>
    <t>Can Service Read Stored Message Text?</t>
  </si>
  <si>
    <t>IP Address Handling</t>
  </si>
  <si>
    <t>Deletion / Retention Summary</t>
  </si>
  <si>
    <t>Third-Party Processors / Hosting</t>
  </si>
  <si>
    <t>Self-Hosted Policy Applicability</t>
  </si>
  <si>
    <t>General Policy Notes</t>
  </si>
  <si>
    <t>Discord-operated centralized service</t>
  </si>
  <si>
    <t>Current terms effective 2025-09-29</t>
  </si>
  <si>
    <t>13+ and local minimum age; guardian consent where required</t>
  </si>
  <si>
    <t>Broad non-exclusive license to operate, develop and improve services</t>
  </si>
  <si>
    <t>Yes for U.S. users; arbitration/class-action waiver with opt-out process</t>
  </si>
  <si>
    <t>Subscriptions auto-renew; refund eligibility depends on product/policy and may be case-by-case</t>
  </si>
  <si>
    <t>Effective 2025-09-29</t>
  </si>
  <si>
    <t>Account, content, activity, device, payment and network/use information</t>
  </si>
  <si>
    <t>Sponsored content exists; Discord says it does not sell personal information</t>
  </si>
  <si>
    <t>May use content in larger spaces to improve services incl. ML; Discord says AI companies may not train on user messages</t>
  </si>
  <si>
    <t>Yes for text; voice/video generally transient and DAVE-E2EE except Stage cases</t>
  </si>
  <si>
    <t>IP/device/network information collected</t>
  </si>
  <si>
    <t>Retention varies by data type; deletion subject to legal/safety exceptions</t>
  </si>
  <si>
    <t>Cloud, payments, safety, analytics and other service providers</t>
  </si>
  <si>
    <t>N/A — no official self-hosting</t>
  </si>
  <si>
    <t>Paid Services and Monetization Terms additionally govern purchases/sales.</t>
  </si>
  <si>
    <t>Primary / first-party policy or project source recorded</t>
  </si>
  <si>
    <t>Stoat-hosted service; self-host instances are separate operators</t>
  </si>
  <si>
    <t>Updated 2026-06-30; Stoat supplement effective 2026-07-30</t>
  </si>
  <si>
    <t>Jurisdiction-dependent minimum-age list</t>
  </si>
  <si>
    <t>Limited rights needed to host/distribute content; supplement applies</t>
  </si>
  <si>
    <t>Revolt Platforms Ltd is an England &amp; Wales company; check full Terms for governing-law clause</t>
  </si>
  <si>
    <t>No public fixed-price paid subscription verified</t>
  </si>
  <si>
    <t>Updated 2026-06-30; service supplement applies</t>
  </si>
  <si>
    <t>Limited account/service data; categories listed in service supplement</t>
  </si>
  <si>
    <t>No data-sale model; advertising model not identified</t>
  </si>
  <si>
    <t>Yes for ordinary hosted text unless an encrypted mode states otherwise</t>
  </si>
  <si>
    <t>Deletion requests supported; EU/UK storage emphasized</t>
  </si>
  <si>
    <t>Cloudflare and service-specific providers</t>
  </si>
  <si>
    <t>Hosted Terms/Privacy do not govern independently operated self-host instances</t>
  </si>
  <si>
    <t>Read shared policies together with Stoat-specific supplements.</t>
  </si>
  <si>
    <t>Pre-launch waitlist policies; full production policy not yet verified</t>
  </si>
  <si>
    <t>Waitlist Terms updated 2026-04-01</t>
  </si>
  <si>
    <t>13+ for waitlist</t>
  </si>
  <si>
    <t>Yes for waitlist/referral abuse</t>
  </si>
  <si>
    <t>Planned subscriptions disclosed; production billing terms U/K</t>
  </si>
  <si>
    <t>Waitlist Privacy updated 2026-05-22</t>
  </si>
  <si>
    <t>Email, referral IDs, browser/device IDs, approximate country, hashed IP/fraud signals</t>
  </si>
  <si>
    <t>Waitlist data not used for advertising</t>
  </si>
  <si>
    <t>IP stored hashed for waitlist anti-fraud</t>
  </si>
  <si>
    <t>Waitlist data retained through launch/initial period then deleted/anonymized unless required</t>
  </si>
  <si>
    <t>Cloudflare Turnstile and trusted providers</t>
  </si>
  <si>
    <t>Treat these as waitlist policies, not a complete production-service legal package.</t>
  </si>
  <si>
    <t>fluxer.app hosted service; self-host operators may have separate policies</t>
  </si>
  <si>
    <t>Effective 2026-09-13</t>
  </si>
  <si>
    <t>Must meet minimum age where user lives</t>
  </si>
  <si>
    <t>Only permissions needed to operate chosen features</t>
  </si>
  <si>
    <t>Fluxer Platform AB, Sweden; see full Terms</t>
  </si>
  <si>
    <t>Plutonium auto-renews; cancel anytime; unused time generally not refunded unless law/terms require</t>
  </si>
  <si>
    <t>Account, content, device/use, payment and security/operational data</t>
  </si>
  <si>
    <t>No advertising partners or data brokers</t>
  </si>
  <si>
    <t>No AI/LLM inference over messages/files/calls; content not used to train/evaluate AI models</t>
  </si>
  <si>
    <t>Yes — nothing on Fluxer is E2EE yet</t>
  </si>
  <si>
    <t>Export/delete controls and retention schedules documented</t>
  </si>
  <si>
    <t>Stripe plus infrastructure/service vendors</t>
  </si>
  <si>
    <t>Hosted policy applies to fluxer.app; self-host operator controls local deployment</t>
  </si>
  <si>
    <t>Voice/video/screen E2EE is in development, not current.</t>
  </si>
  <si>
    <t>Root-operated centralized service</t>
  </si>
  <si>
    <t>Effective 2026-02-19</t>
  </si>
  <si>
    <t>Yes / exact clause U/K</t>
  </si>
  <si>
    <t>Root Communications, Inc., United States; exact venue clause in Terms</t>
  </si>
  <si>
    <t>Sudo auto-renews; cancel from settings; price increases require notice</t>
  </si>
  <si>
    <t>Account, content, device/network, payments and service-use data</t>
  </si>
  <si>
    <t>No user data/content used to train AI models</t>
  </si>
  <si>
    <t>Yes for text; calls are real-time and not stored by default</t>
  </si>
  <si>
    <t>IP/network data processed</t>
  </si>
  <si>
    <t>Payments, hosting and service providers</t>
  </si>
  <si>
    <t>Developer Terms separately govern Apps/Bots and hosted runtime.</t>
  </si>
  <si>
    <t>No Matrix-wide ToS; these links apply only to the matrix.org homeserver</t>
  </si>
  <si>
    <t>Existing users effective 2025-08-14</t>
  </si>
  <si>
    <t>Yes / protocol content remains user-generated</t>
  </si>
  <si>
    <t>Limited license to use matrix.org service</t>
  </si>
  <si>
    <t>Yes for matrix.org access/moderation</t>
  </si>
  <si>
    <t>Matrix.org Foundation, UK; see Homeserver Terms</t>
  </si>
  <si>
    <t>Usage-plan fees generally non-refundable; planned pricing can change with notice</t>
  </si>
  <si>
    <t>Effective 2025-08-25</t>
  </si>
  <si>
    <t>matrix.org account/history, federation metadata, bots/bridges and operational data</t>
  </si>
  <si>
    <t>Provider/client-specific; no protocol-wide policy</t>
  </si>
  <si>
    <t>Homeservers can read unencrypted rooms; E2EE rooms store ciphertext</t>
  </si>
  <si>
    <t>Homeserver/provider sees network metadata</t>
  </si>
  <si>
    <t>Federated copies may exist on multiple homeservers</t>
  </si>
  <si>
    <t>Element acts as processor for matrix.org hosting/management; other providers vary</t>
  </si>
  <si>
    <t>Other homeservers have their own terms/privacy; matrix.org policies do not govern them</t>
  </si>
  <si>
    <t>Keep Matrix protocol, matrix.org homeserver and Element client separate.</t>
  </si>
  <si>
    <t>Self-hosted open-source Discord-compatible software</t>
  </si>
  <si>
    <t>Software/project or provider/operator-specific; standalone service terms U/K</t>
  </si>
  <si>
    <t>Provider/operator-specific or U/K</t>
  </si>
  <si>
    <t>Operator/provider policy applies where self-hosted</t>
  </si>
  <si>
    <t>No central consumer service policy; operator policies apply.</t>
  </si>
  <si>
    <t>Open-source self-hosted voice software</t>
  </si>
  <si>
    <t>No central hosted-service ToS; third-party host/operator policies apply.</t>
  </si>
  <si>
    <t>Software, accounts, hosted communities, licenses and related services</t>
  </si>
  <si>
    <t>Effective 2026-06-22</t>
  </si>
  <si>
    <t>TeamSpeak USA / TeamSpeak DE depending product/order</t>
  </si>
  <si>
    <t>Product/order-specific hosted-plan and licensing terms</t>
  </si>
  <si>
    <t>Account, licensing, device/service-use and support data</t>
  </si>
  <si>
    <t>Self-host server operator controls server-side data; TeamSpeak-controlled data varies</t>
  </si>
  <si>
    <t>Server operator controls community content; TeamSpeak account/licensing policies still apply</t>
  </si>
  <si>
    <t>Authorized third-party hosts may impose additional policies.</t>
  </si>
  <si>
    <t>Zulip Cloud plus subscriptions; self-host operator policies also matter</t>
  </si>
  <si>
    <t>Effective 2022-02-07</t>
  </si>
  <si>
    <t>See Zulip Age of Consent policy; jurisdiction-dependent</t>
  </si>
  <si>
    <t>Kandra Labs, Inc., California; see Terms</t>
  </si>
  <si>
    <t>Cloud/self-host subscriptions are plan-specific; Enterprise is contract-based</t>
  </si>
  <si>
    <t>Current policy page</t>
  </si>
  <si>
    <t>Account, organization content, device/use and payment/support data</t>
  </si>
  <si>
    <t>No data-sale business model</t>
  </si>
  <si>
    <t>Yes on Zulip Cloud/server-stored history; self-host operator controls own server</t>
  </si>
  <si>
    <t>Exports and admin retention policies exist</t>
  </si>
  <si>
    <t>Self-host organization/operator is responsible for its deployment and local policy</t>
  </si>
  <si>
    <t>Treat Zulip Cloud and self-hosted Zulip separately.</t>
  </si>
  <si>
    <t>Cloud and self-hosted enterprise collaboration; local org terms may apply</t>
  </si>
  <si>
    <t>Legal/licensing hub; terms vary by edition/subscription</t>
  </si>
  <si>
    <t>Customer/operator content</t>
  </si>
  <si>
    <t>Yes / self-host admin also controls users</t>
  </si>
  <si>
    <t>Annual seat licenses/enterprise contracts</t>
  </si>
  <si>
    <t>Effective 2024-12-30</t>
  </si>
  <si>
    <t>Self-host users expose limited Mattermost-collected data; cloud/services collect more</t>
  </si>
  <si>
    <t>No consumer ad-driven model</t>
  </si>
  <si>
    <t>Depends on deployment/integration/provider</t>
  </si>
  <si>
    <t>Self-host operator can read ordinary server-stored content</t>
  </si>
  <si>
    <t>Customer infrastructure plus Mattermost subprocessors for cloud/services</t>
  </si>
  <si>
    <t>Self-host operator is primary privacy actor; org may publish local terms subject to Mattermost requirements</t>
  </si>
  <si>
    <t>Obligations differ by Team Edition, Enterprise and Cloud.</t>
  </si>
  <si>
    <t>Cloud and self-managed deployments; offering-specific terms</t>
  </si>
  <si>
    <t>Legal center / offering-specific agreements</t>
  </si>
  <si>
    <t>Commercial/Government/Defense are sales-led contracts</t>
  </si>
  <si>
    <t>Effective 2025-08-11</t>
  </si>
  <si>
    <t>Website/cloud/app/service data; self-host deployment data can remain customer-controlled</t>
  </si>
  <si>
    <t>No consumer ad-driven model identified</t>
  </si>
  <si>
    <t>Depends on deployment/integration</t>
  </si>
  <si>
    <t>Self-host operator can read unencrypted content; E2EE has feature limitations</t>
  </si>
  <si>
    <t>Self-managed operator is responsible for workspace data/local terms</t>
  </si>
  <si>
    <t>Use Legal Center for current agreements and archived versions.</t>
  </si>
  <si>
    <t>Cloud account/service plus cloud-hosted or self-hosted community servers</t>
  </si>
  <si>
    <t>Effective 2026-03-23; updated 2026-06-07</t>
  </si>
  <si>
    <t>13+; guardian permission represented for users under 18</t>
  </si>
  <si>
    <t>Server tiers and self-host licenses have purchase-specific terms</t>
  </si>
  <si>
    <t>Effective 2026-03-23; updated 2026-08-06</t>
  </si>
  <si>
    <t>Account/profile, communications, support and usage data; self-host content remains local</t>
  </si>
  <si>
    <t>No ads/data sale business model</t>
  </si>
  <si>
    <t>Cloud-hosted text is stored by GameVox; self-host community content stays local</t>
  </si>
  <si>
    <t>Hosting/SMS/payments/operational vendors</t>
  </si>
  <si>
    <t>Self-host community data/voice/files live on operator hardware; cloud auth/account services still apply</t>
  </si>
  <si>
    <t>No data sale or advertising stated.</t>
  </si>
  <si>
    <t>Nerimity-hosted service; open-source code</t>
  </si>
  <si>
    <t>Homepage links Terms and Privacy; exact standalone URLs were not indexed.</t>
  </si>
  <si>
    <t>Osmium-hosted centralized service</t>
  </si>
  <si>
    <t>Last updated 2026-02-10</t>
  </si>
  <si>
    <t>Minimum age varies; EU stated as 16 unless consent rules allow otherwise</t>
  </si>
  <si>
    <t>Account/profile, stored messages/files/media and operational data</t>
  </si>
  <si>
    <t>Yes; voice/video transmitted over encrypted connections</t>
  </si>
  <si>
    <t>N/A — no self-hosting verified</t>
  </si>
  <si>
    <t>Encrypted transport does not itself mean E2EE.</t>
  </si>
  <si>
    <t>Loqa-operated service plus evolving federation/self-host features</t>
  </si>
  <si>
    <t>13+; guardian consent for users under 18</t>
  </si>
  <si>
    <t>Limited non-exclusive license to store/transmit/display as needed</t>
  </si>
  <si>
    <t>Yes — AAA binding arbitration and class-action waiver</t>
  </si>
  <si>
    <t>Delaware law; Delaware courts for specified court actions</t>
  </si>
  <si>
    <t>Paid subscriptions/features supported; exact catalog/prices vary</t>
  </si>
  <si>
    <t>Last updated 2026-07-10</t>
  </si>
  <si>
    <t>Account/profile, messages/files, call-control data, diagnostics and purchases/subscriptions</t>
  </si>
  <si>
    <t>No targeted advertising/third-party ad trackers</t>
  </si>
  <si>
    <t>Eligible E2EE content is ciphertext; other channels/features may be readable</t>
  </si>
  <si>
    <t>Raw IP used for rate limiting/security; sessions retain keyed hash</t>
  </si>
  <si>
    <t>Deletion supported; moderation snapshots may persist up to 90 days</t>
  </si>
  <si>
    <t>Federated/self-host policy boundaries still evolving</t>
  </si>
  <si>
    <t>E2EE coverage varies by content type.</t>
  </si>
  <si>
    <t>Early hosted project moving toward self-host/federation</t>
  </si>
  <si>
    <t>Formal public legal policy coverage is incomplete.</t>
  </si>
  <si>
    <t>Policy page not verified / operator-specific</t>
  </si>
  <si>
    <t>Mezon communication service plus Mezon Dong payment ecosystem</t>
  </si>
  <si>
    <t>Legal links are exposed on Mezon Dong; exact normalized URLs U/K.</t>
  </si>
  <si>
    <t>Kloak-hosted privacy-focused service</t>
  </si>
  <si>
    <t>Last updated January 2025</t>
  </si>
  <si>
    <t>No subscriptions; self-funding + donations</t>
  </si>
  <si>
    <t>Current privacy page / exact update U/K</t>
  </si>
  <si>
    <t>No / project says no data harvesting</t>
  </si>
  <si>
    <t>Current server-readable model until planned zero-knowledge strategy is deployed</t>
  </si>
  <si>
    <t>Kloak states no subscriptions, ads or data harvesting.</t>
  </si>
  <si>
    <t>yapper.gg account/license service plus self-host or managed server</t>
  </si>
  <si>
    <t>No standalone Terms page verified</t>
  </si>
  <si>
    <t>Operator/user content ownership</t>
  </si>
  <si>
    <t>Self-host license $0; managed hosting €90/yr regular, €45 promo through 2027-01-31</t>
  </si>
  <si>
    <t>Last updated 2026-06-30</t>
  </si>
  <si>
    <t>Email, username and account/license-validation data; self-host content stays on operator server</t>
  </si>
  <si>
    <t>No surveillance/ad model stated</t>
  </si>
  <si>
    <t>No model-training use stated</t>
  </si>
  <si>
    <t>yapper.gg cannot access self-hosted chat/voice/screen content</t>
  </si>
  <si>
    <t>Google Sign-In, optional tools and hosting/payment services</t>
  </si>
  <si>
    <t>Self-host operator is responsible for server content/data</t>
  </si>
  <si>
    <t>Managed hosting and self-host privacy responsibilities differ.</t>
  </si>
  <si>
    <t>Open-source Harmony platform/server; Fermi is a client</t>
  </si>
  <si>
    <t>No central consumer service policy verified; self-host operator policy applies.</t>
  </si>
  <si>
    <t>Open-source ATProto application/appserver</t>
  </si>
  <si>
    <t>Provider/PDS/appserver policies apply; no Roomy consumer policy verified.</t>
  </si>
  <si>
    <t>Open-source Nostr/Concord client/relay ecosystem</t>
  </si>
  <si>
    <t>No central consumer service terms; relay/provider policies apply.</t>
  </si>
  <si>
    <t>Local-first distributed app with optional relays</t>
  </si>
  <si>
    <t>Repository contains Terms/Privacy docs; exact file URLs not normalized here.</t>
  </si>
  <si>
    <t>Self-host-first open-source platform</t>
  </si>
  <si>
    <t>No centralized consumer ToS/privacy verified; instance operator policies apply.</t>
  </si>
  <si>
    <t>Rift-operated centralized service</t>
  </si>
  <si>
    <t>Last updated August 2026</t>
  </si>
  <si>
    <t>18+ or age of majority, whichever is higher</t>
  </si>
  <si>
    <t>Subscriptions auto-renew; cancel anytime; generally no partial refunds except law/case-by-case</t>
  </si>
  <si>
    <t>Username/public key, age attestation, payment status, limited diagnostics/media metadata</t>
  </si>
  <si>
    <t>No behavioral advertising/tracking</t>
  </si>
  <si>
    <t>No messages/media/profile data used to train AI models</t>
  </si>
  <si>
    <t>Cannot read E2EE DM plaintext; can process non-E2EE community text</t>
  </si>
  <si>
    <t>Rift says it does not store IP addresses</t>
  </si>
  <si>
    <t>Hard-delete/account-deletion claims with legal exceptions</t>
  </si>
  <si>
    <t>Stripe, Cloudflare R2, optional Sentry; self-hosted voice/video infra</t>
  </si>
  <si>
    <t>No email, phone or government ID required.</t>
  </si>
  <si>
    <t>Hosted pqp.gg service plus AGPL self-hosting</t>
  </si>
  <si>
    <t>No standalone legal pages verified; export/delete and self-host controls are documented.</t>
  </si>
  <si>
    <t>Echon-hosted centralized service</t>
  </si>
  <si>
    <t>13+ per signup/privacy policy</t>
  </si>
  <si>
    <t>LJAN Enterprises LLC (U.S.); team in Canada; exact law clause U/K</t>
  </si>
  <si>
    <t>Privacy policy references Stripe and premium/boost tiers when active</t>
  </si>
  <si>
    <t>Last updated 2026-06-10</t>
  </si>
  <si>
    <t>Email, username/handle, DOB, profile, stored text/uploads, IP/user-agent, device IDs, diagnostics</t>
  </si>
  <si>
    <t>No third-party tracking/advertising IDs</t>
  </si>
  <si>
    <t>Messages/voice not used to train ML models</t>
  </si>
  <si>
    <t>Yes for text; voice/screen through LiveKit Cloud are not recorded</t>
  </si>
  <si>
    <t>Raw IP short-lived in access logs; hashed form used for analytics/security</t>
  </si>
  <si>
    <t>LiveKit Cloud, Stripe, SendGrid, Sentry, AWS</t>
  </si>
  <si>
    <t>Premium/boost amounts and exact scope are not public.</t>
  </si>
  <si>
    <t>Valour-hosted service plus AGPL self-host/federated nodes</t>
  </si>
  <si>
    <t>No standalone current Terms page verified</t>
  </si>
  <si>
    <t>Optional Stargazer subscription; price U/K</t>
  </si>
  <si>
    <t>No standalone current Privacy page verified</t>
  </si>
  <si>
    <t>Email/account and hosted community data; exact categories U/K</t>
  </si>
  <si>
    <t>Official hosted service can read ordinary stored text unless encrypted feature says otherwise</t>
  </si>
  <si>
    <t>Self-host node operator sets local policy; official/federated nodes may differ</t>
  </si>
  <si>
    <t>FAQ says no phone/ID, no ads, no data selling; AGPL client/server.</t>
  </si>
  <si>
    <t>Weered-hosted lobby/community service</t>
  </si>
  <si>
    <t>No standalone public Terms page verified</t>
  </si>
  <si>
    <t>Hosted in Canada</t>
  </si>
  <si>
    <t>$6/mo own lobby; custom builds quoted by size; builds are month-to-month/no contract</t>
  </si>
  <si>
    <t>No standalone public Privacy page verified</t>
  </si>
  <si>
    <t>Hosted account/community data; exact categories U/K</t>
  </si>
  <si>
    <t>Hosted service can process stored lobby/chat content</t>
  </si>
  <si>
    <t>Custom-build member data exportable at any time</t>
  </si>
  <si>
    <t>Canada-hosted infrastructure</t>
  </si>
  <si>
    <t>N/A — no self-host product described</t>
  </si>
  <si>
    <t>No seat limits/boosts; paid model is lobby ownership/custom builds.</t>
  </si>
  <si>
    <t>As of 2026-09-15</t>
  </si>
  <si>
    <t>Area</t>
  </si>
  <si>
    <t>What it supports</t>
  </si>
  <si>
    <t>Source Type</t>
  </si>
  <si>
    <t>Evidence Level</t>
  </si>
  <si>
    <t>Applies To</t>
  </si>
  <si>
    <t>Language</t>
  </si>
  <si>
    <t>Project history / launch</t>
  </si>
  <si>
    <t>https://discord.com/company</t>
  </si>
  <si>
    <t>Official Discord company history; first Discord release in May 2015.</t>
  </si>
  <si>
    <t>U/K means unknown / not publicly verifiable enough to state confidently.</t>
  </si>
  <si>
    <t>First-party / official</t>
  </si>
  <si>
    <t>Primary</t>
  </si>
  <si>
    <t>English</t>
  </si>
  <si>
    <t>Exact launch anniversary</t>
  </si>
  <si>
    <t>https://discord.com/blog/thank-you-for-ten-years</t>
  </si>
  <si>
    <t>Official 10th birthday on May 13, 2025 confirms May 13, 2015 launch.</t>
  </si>
  <si>
    <t>Company size</t>
  </si>
  <si>
    <t>https://www.linkedin.com/company/discord</t>
  </si>
  <si>
    <t>Public company-size range: 501–1,000 employees; engineering subset remains U/K.</t>
  </si>
  <si>
    <t>Privacy / encryption / IP / business model</t>
  </si>
  <si>
    <t>Current privacy policy: TLS in transit, data collection/retention, IP collection, business funding, controllers.</t>
  </si>
  <si>
    <t>Retention</t>
  </si>
  <si>
    <t>https://support.discord.com/hc/en-us/articles/5431812448791-How-long-Discord-keeps-your-information</t>
  </si>
  <si>
    <t>Retention policy details, including inactive-account handling.</t>
  </si>
  <si>
    <t>Voice/video E2EE status</t>
  </si>
  <si>
    <t>https://discord.com/blog/every-voice-and-video-call-on-discord-is-now-end-to-end-encrypted</t>
  </si>
  <si>
    <t>DAVE is standard for Discord calls as of March 2026; Stage is a special case.</t>
  </si>
  <si>
    <t>DAVE design / text not E2EE</t>
  </si>
  <si>
    <t>https://discord.com/blog/meet-dave-e2ee-for-audio-video</t>
  </si>
  <si>
    <t>Explains DAVE, Trail of Bits audit, and that Discord messages remain non-E2EE.</t>
  </si>
  <si>
    <t>DAVE 2025 audit / platform rollout</t>
  </si>
  <si>
    <t>https://discord.com/blog/bringing-dave-to-all-discord-platforms</t>
  </si>
  <si>
    <t>All-platform DAVE rollout and follow-up Trail of Bits audit.</t>
  </si>
  <si>
    <t>Free / Nitro upload limits</t>
  </si>
  <si>
    <t>Current 2026 limits: 20 MB free, 50 MB Nitro Basic, up to 500 MB Nitro.</t>
  </si>
  <si>
    <t>Screen share / audio capture</t>
  </si>
  <si>
    <t>Free 720p/30; Nitro up to 4K/60; supported audio-capture platforms.</t>
  </si>
  <si>
    <t>Voice bitrate</t>
  </si>
  <si>
    <t>https://support.discord.com/hc/en-us/articles/11635925354775-Audio-Bitrate-FAQ</t>
  </si>
  <si>
    <t>96 kbps base; boosted caps up to 384 kbps.</t>
  </si>
  <si>
    <t>https://support.discord.com/hc/en-us/articles/360040843952-Krisp-FAQ</t>
  </si>
  <si>
    <t>Krisp noise suppression support.</t>
  </si>
  <si>
    <t>Stage channels</t>
  </si>
  <si>
    <t>https://support.discord.com/hc/en-us/articles/1500005513722-Stage-Channels-FAQ</t>
  </si>
  <si>
    <t>Speaker/audience model, request-to-speak, screen share/video.</t>
  </si>
  <si>
    <t>Account / server caps</t>
  </si>
  <si>
    <t>https://support.discord.com/hc/en-us/articles/33694251638295-Discord-Account-Caps-Server-Caps-and-More</t>
  </si>
  <si>
    <t>Audit-log retention and various channel/stage caps.</t>
  </si>
  <si>
    <t>Account registration</t>
  </si>
  <si>
    <t>Registration requirements and phone/email options.</t>
  </si>
  <si>
    <t>AutoMod</t>
  </si>
  <si>
    <t>https://support.discord.com/hc/en-us/articles/4421269296535-AutoMod-FAQ</t>
  </si>
  <si>
    <t>Native AutoMod, keyword and spam filters.</t>
  </si>
  <si>
    <t>AutoMod regex</t>
  </si>
  <si>
    <t>https://support.discord.com/hc/en-us/articles/10069840290711-Filter-Messages-Using-Regular-Expressions-Regex</t>
  </si>
  <si>
    <t>Custom keyword rules support Rust-flavor regex.</t>
  </si>
  <si>
    <t>Raid protection</t>
  </si>
  <si>
    <t>https://support.discord.com/hc/en-us/articles/10989121220631-How-to-Protect-Your-Server-from-Raids-101</t>
  </si>
  <si>
    <t>ML-based Raid Protection, CAPTCHA, verification recommendations.</t>
  </si>
  <si>
    <t>Rules screening</t>
  </si>
  <si>
    <t>https://support.discord.com/hc/en-us/articles/1500000466882-Rules-Screening-FAQ</t>
  </si>
  <si>
    <t>Native join rules screening.</t>
  </si>
  <si>
    <t>Server member applications</t>
  </si>
  <si>
    <t>https://support.discord.com/hc/en-us/articles/29729107418519-Server-Member-Applications</t>
  </si>
  <si>
    <t>Apply-to-join and application review tools.</t>
  </si>
  <si>
    <t>Audit logs</t>
  </si>
  <si>
    <t>https://docs.discord.com/developers/resources/audit-log</t>
  </si>
  <si>
    <t>Audit log API and 45-day retention.</t>
  </si>
  <si>
    <t>Bug bounty</t>
  </si>
  <si>
    <t>https://discord.com/security</t>
  </si>
  <si>
    <t>Private Bugcrowd program; usual response target around 24 hours.</t>
  </si>
  <si>
    <t>2025 support-vendor incident</t>
  </si>
  <si>
    <t>https://discord.com/press-releases/update-on-security-incident-involving-third-party-customer-service</t>
  </si>
  <si>
    <t>Official incident disclosure and affected-data scope.</t>
  </si>
  <si>
    <t>Desktop/mobile stack</t>
  </si>
  <si>
    <t>https://discord.com/blog/discord-patch-notes-september-8-2026</t>
  </si>
  <si>
    <t>Electron 42 desktop; React Native 0.86 mobile; 20 MB free upload change.</t>
  </si>
  <si>
    <t>Platform downloads</t>
  </si>
  <si>
    <t>https://discord.com/download</t>
  </si>
  <si>
    <t>Official Windows, macOS, Linux package formats, iOS and Android distribution.</t>
  </si>
  <si>
    <t>Account switching</t>
  </si>
  <si>
    <t>https://support.discord.com/hc/en-us/articles/4412732047127-Discord-Account-Switcher-FAQ</t>
  </si>
  <si>
    <t>Desktop account switcher supports up to five accounts.</t>
  </si>
  <si>
    <t>Data export</t>
  </si>
  <si>
    <t>https://support.discord.com/hc/en-us/articles/360004957991-Your-Discord-Data-Package</t>
  </si>
  <si>
    <t>Account data-package export.</t>
  </si>
  <si>
    <t>Gateway / WebSocket API</t>
  </si>
  <si>
    <t>https://docs.discord.com/developers/events/gateway</t>
  </si>
  <si>
    <t>Gateway is WebSocket-based; documents Gateway event rate limit.</t>
  </si>
  <si>
    <t>API rate limits</t>
  </si>
  <si>
    <t>https://docs.discord.com/developers/topics/rate-limits</t>
  </si>
  <si>
    <t>Per-route and global API rate limiting.</t>
  </si>
  <si>
    <t>Interactions / slash commands</t>
  </si>
  <si>
    <t>https://docs.discord.com/developers/platform/interactions</t>
  </si>
  <si>
    <t>Slash commands, components, modals, Gateway/HTTP interactions.</t>
  </si>
  <si>
    <t>https://docs.discord.com/developers/platform/rich-presence</t>
  </si>
  <si>
    <t>Official Rich Presence platform documentation.</t>
  </si>
  <si>
    <t>Activities / embedded apps</t>
  </si>
  <si>
    <t>https://docs.discord.com/developers/platform/activities</t>
  </si>
  <si>
    <t>Activities are embedded games/social apps within Discord.</t>
  </si>
  <si>
    <t>Embedded App SDK</t>
  </si>
  <si>
    <t>https://docs.discord.com/developers/developer-tools/embedded-app-sdk</t>
  </si>
  <si>
    <t>Official JavaScript/TypeScript SDK for Discord Activities.</t>
  </si>
  <si>
    <t>Conversation Summaries</t>
  </si>
  <si>
    <t>https://support.discord.com/hc/en-us/articles/12926016807575-In-Channel-Conversation-Summaries</t>
  </si>
  <si>
    <t>2026 experiment for AI-generated channel conversation summaries.</t>
  </si>
  <si>
    <t>AI model-training policy</t>
  </si>
  <si>
    <t>https://discord.com/safety/important-policy-updates</t>
  </si>
  <si>
    <t>Discord says AI companies are not allowed to train models using user messages.</t>
  </si>
  <si>
    <t>Nitro perks</t>
  </si>
  <si>
    <t>Nitro perks including uploads, HD streaming, cosmetics, Soundboard.</t>
  </si>
  <si>
    <t>Forum / Gallery view</t>
  </si>
  <si>
    <t>https://support.discord.com/hc/en-us/articles/6208479917079-Forum-Channels-FAQ</t>
  </si>
  <si>
    <t>Forum channels and Gallery View.</t>
  </si>
  <si>
    <t>Embedded Apps / Activities</t>
  </si>
  <si>
    <t>Activities are multiplayer/social experiences embedded directly in Discord; can launch in channels/DMs/App Launcher.</t>
  </si>
  <si>
    <t>Official developer platform documentation.</t>
  </si>
  <si>
    <t>Embedded Apps; Developer API Detail</t>
  </si>
  <si>
    <t>Official SDK for communication between embedded web apps and Discord clients; supports web/iOS/Android methods.</t>
  </si>
  <si>
    <t>Official SDK reference.</t>
  </si>
  <si>
    <t>App platform overview</t>
  </si>
  <si>
    <t>https://docs.discord.com/developers/quick-start/overview-of-apps</t>
  </si>
  <si>
    <t>Defines bots, Activities and Social SDK integrations and installation scopes.</t>
  </si>
  <si>
    <t>Official app model overview.</t>
  </si>
  <si>
    <t>Embedded Apps; Developer Extensibility</t>
  </si>
  <si>
    <t>URL</t>
  </si>
  <si>
    <t>Checked</t>
  </si>
  <si>
    <t>Self-hosting</t>
  </si>
  <si>
    <t>https://github.com/stoatchat/self-hosted</t>
  </si>
  <si>
    <t>Official Docker self-host stack; notes that most official clients do not yet support custom instances well.</t>
  </si>
  <si>
    <t>First-party / official or project repository</t>
  </si>
  <si>
    <t>Backend / licensing</t>
  </si>
  <si>
    <t>Rust backend, AGPL-3.0, MongoDB/Redis/RabbitMQ/MinIO, LiveKit config.</t>
  </si>
  <si>
    <t>Client ecosystem</t>
  </si>
  <si>
    <t>https://github.com/stoatchat/</t>
  </si>
  <si>
    <t>Web PWA, Electron desktop, Android, iOS project and community clients.</t>
  </si>
  <si>
    <t>Current product scope</t>
  </si>
  <si>
    <t>https://stoat.chat/legal/terms-stoat-supplement</t>
  </si>
  <si>
    <t>Stoat is chat with messaging, voice/video and recognizes self-hosted instances.</t>
  </si>
  <si>
    <t>Current status/features</t>
  </si>
  <si>
    <t>https://fenrid.com/</t>
  </si>
  <si>
    <t>Alpha; channels, roles, voice/video/screen share, E2EE direct messages.</t>
  </si>
  <si>
    <t>Architecture / E2EE disclosure</t>
  </si>
  <si>
    <t>https://blog.fenrid.com/fenrids-story</t>
  </si>
  <si>
    <t>Founder details centralized hosted architecture, E2EE boundaries, tech stack and open-source plan.</t>
  </si>
  <si>
    <t>E2EE / roadmap</t>
  </si>
  <si>
    <t>Published DM encryption flow and planned launch features.</t>
  </si>
  <si>
    <t>Privacy / E2EE / AI</t>
  </si>
  <si>
    <t>No AI training; no E2EE yet; hosting jurisdiction/data practices.</t>
  </si>
  <si>
    <t>Client distribution</t>
  </si>
  <si>
    <t>https://fluxer.app/download</t>
  </si>
  <si>
    <t>Web/desktop, Linux packages, Android/iOS beta status.</t>
  </si>
  <si>
    <t>Roadmap / self-host/federation</t>
  </si>
  <si>
    <t>https://fluxer.app/blog/roadmap-2026</t>
  </si>
  <si>
    <t>Public beta, self-host architecture, mobile, voice/video E2EE and federation roadmap.</t>
  </si>
  <si>
    <t>Privacy / AI</t>
  </si>
  <si>
    <t>Closed centralized service; stored message/file data, real-time calls, no AI training, IP collection.</t>
  </si>
  <si>
    <t>Discord import</t>
  </si>
  <si>
    <t>https://support.rootapp.com/docs/leader/community/import-discord-template/</t>
  </si>
  <si>
    <t>Exactly what Discord template import does and does not migrate.</t>
  </si>
  <si>
    <t>Screen share</t>
  </si>
  <si>
    <t>https://support.rootapp.com/docs/member/voice-video/share-screen/</t>
  </si>
  <si>
    <t>720p30 game mode, Source@5fps, audio capture, no mobile sharing.</t>
  </si>
  <si>
    <t>Apps/Bots</t>
  </si>
  <si>
    <t>https://docs.rootapp.com/docs/overview/choose-app-or-bot/</t>
  </si>
  <si>
    <t>Hosted Root Apps with GUIs vs Bots, API access and hosted runtime model.</t>
  </si>
  <si>
    <t>File limits</t>
  </si>
  <si>
    <t>25 MB max file and 10 files/upload.</t>
  </si>
  <si>
    <t>Platform model</t>
  </si>
  <si>
    <t>https://matrix.org/docs/matrix-concepts/elements-of-matrix/</t>
  </si>
  <si>
    <t>Separates homeservers, clients and federation; Matrix is not Element.</t>
  </si>
  <si>
    <t>Specification</t>
  </si>
  <si>
    <t>https://spec.matrix.org/unstable/</t>
  </si>
  <si>
    <t>Open client-server/server-server architecture and federation.</t>
  </si>
  <si>
    <t>Homeserver network</t>
  </si>
  <si>
    <t>https://matrix.org/homeserver/about/</t>
  </si>
  <si>
    <t>matrix.org is one homeserver in the federated network, not Matrix itself.</t>
  </si>
  <si>
    <t>Project definition</t>
  </si>
  <si>
    <t>https://docs.spacebar.chat/</t>
  </si>
  <si>
    <t>FOSS Discord API reimplementation; self-hosted, separate from Discord.</t>
  </si>
  <si>
    <t>Server model</t>
  </si>
  <si>
    <t>https://docs.spacebar.chat/setup/server/</t>
  </si>
  <si>
    <t>API, Gateway and CDN service layout.</t>
  </si>
  <si>
    <t>https://docs.spacebar.chat/setup/server/installation/generic/voice/</t>
  </si>
  <si>
    <t>Optional WebRTC media implementations, audio/video/Go Live capability.</t>
  </si>
  <si>
    <t>Core project</t>
  </si>
  <si>
    <t>Open-source voice client/server, active development and BSD-style license.</t>
  </si>
  <si>
    <t>Official site</t>
  </si>
  <si>
    <t>https://www.teamspeak.com/</t>
  </si>
  <si>
    <t>Commercial TeamSpeak client/server ecosystem; TS6 generation.</t>
  </si>
  <si>
    <t>Core project / license</t>
  </si>
  <si>
    <t>Apache-2.0 open-source server/web app and active project.</t>
  </si>
  <si>
    <t>Licensing</t>
  </si>
  <si>
    <t>Team Edition/open-source and commercial licensing model.</t>
  </si>
  <si>
    <t>Go/React self-host platform, monthly release model and deployment model.</t>
  </si>
  <si>
    <t>Open-source core, active releases, self-host/cloud platform.</t>
  </si>
  <si>
    <t>Federation</t>
  </si>
  <si>
    <t>https://docs.rocket.chat/docs/federation-architecture-and-capabilities</t>
  </si>
  <si>
    <t>Federation support and explicit limitations, including no E2EE or calls in federated rooms.</t>
  </si>
  <si>
    <t>Product / importer</t>
  </si>
  <si>
    <t>Voice/text/screen, self-hosting, Discord importer, 1080p30 free, 500 MB uploads</t>
  </si>
  <si>
    <t>Press / stack</t>
  </si>
  <si>
    <t>https://www.gamevox.com/press/</t>
  </si>
  <si>
    <t>2026 launch, Wails v3 native apps, self-funded</t>
  </si>
  <si>
    <t>Product</t>
  </si>
  <si>
    <t>Platforms, open source, community chat</t>
  </si>
  <si>
    <t>Source</t>
  </si>
  <si>
    <t>https://github.com/Nerimity</t>
  </si>
  <si>
    <t>GPL server/web, Electron desktop, Android, API library</t>
  </si>
  <si>
    <t>Public community platform, regional/global infrastructure, voice/video</t>
  </si>
  <si>
    <t>Privacy</t>
  </si>
  <si>
    <t>Stored content, encrypted real-time calls, account data</t>
  </si>
  <si>
    <t>Open beta features, LiveKit voice/video, importer, Discord API compatibility</t>
  </si>
  <si>
    <t>Developer announcement</t>
  </si>
  <si>
    <t>https://www.reddit.com/r/DiscordAlternatives/comments/1thyt1p/change_of_direction_for_our_discord_alternative/</t>
  </si>
  <si>
    <t>Open-source backend, self-host/federation direction, E2EE default status</t>
  </si>
  <si>
    <t>Docs</t>
  </si>
  <si>
    <t>Free voice/video/screen share and community feature claims</t>
  </si>
  <si>
    <t>Native Rust desktop, native mobile, C media/backend stack, AI features</t>
  </si>
  <si>
    <t>No email/phone, voice/forums/tasks/media/calendars</t>
  </si>
  <si>
    <t>Minimal-data privacy policy</t>
  </si>
  <si>
    <t>https://yapper.gg/</t>
  </si>
  <si>
    <t>Self-hosted voice/chat/screen/file/spatial audio</t>
  </si>
  <si>
    <t>Self-host content remains on operator server</t>
  </si>
  <si>
    <t>Harmony/Fermi</t>
  </si>
  <si>
    <t>Client source</t>
  </si>
  <si>
    <t>https://github.com/MathMan05/Fermi</t>
  </si>
  <si>
    <t>Fermi is a Harmony client, AGPL, instance selector, no AI-generated code policy</t>
  </si>
  <si>
    <t>ATProto group chat, Discord bridge, MPL-2.0</t>
  </si>
  <si>
    <t>Nostr/Concord serverless E2EE communities</t>
  </si>
  <si>
    <t>Local-first distributed encrypted messenger</t>
  </si>
  <si>
    <t>Developer update</t>
  </si>
  <si>
    <t>https://www.reddit.com/r/DiscordAlternatives/comments/1uaztpl/hollow_opensource_selfhostable_signed_winmac/</t>
  </si>
  <si>
    <t>Flutter/Rust, multi-device, local storage, relay model</t>
  </si>
  <si>
    <t>Features</t>
  </si>
  <si>
    <t>https://dcts.community/features.html</t>
  </si>
  <si>
    <t>Self-hosting, E2EE messenger, voice/screen, apps</t>
  </si>
  <si>
    <t>Messenger docs</t>
  </si>
  <si>
    <t>https://docs.dcts.community/Messenger/Introduction</t>
  </si>
  <si>
    <t>Key-based E2EE cross-home-server messenger</t>
  </si>
  <si>
    <t>https://therift.chat/</t>
  </si>
  <si>
    <t>No email/phone/ID, EXIF stripping, at-rest encryption, no AI training</t>
  </si>
  <si>
    <t>AGPL, self-host, Discord template import, 1080p screen share, multi-share/export</t>
  </si>
  <si>
    <t>LiveKit voice, channels/roles/DMs, screen share, cross-platform clients</t>
  </si>
  <si>
    <t>FAQ</t>
  </si>
  <si>
    <t>https://valour.gg/FAQ</t>
  </si>
  <si>
    <t>Open source, self-host, Discord importer, email-only signup</t>
  </si>
  <si>
    <t>AGPL client/server, Blazor, LiveKit, bots/themes/automod</t>
  </si>
  <si>
    <t>Lobby-first platform, LiveKit voice, Tauri desktop, free/paid model</t>
  </si>
  <si>
    <t>Public beta/source-available status</t>
  </si>
  <si>
    <t>Current Nitro pricing</t>
  </si>
  <si>
    <t>https://support.discord.com/hc/en-us/articles/4407269525911-Nitro-Localized-Pricing-FAQ</t>
  </si>
  <si>
    <t>Nitro $9.99/mo or $99.99/yr; Nitro Basic $2.99/mo or $29.99/yr; Server Boost $4.99/mo or $49.99/yr.</t>
  </si>
  <si>
    <t>Current Nitro product</t>
  </si>
  <si>
    <t>Current Nitro/Nitro Basic availability and benefits.</t>
  </si>
  <si>
    <t>Planned paid tiers</t>
  </si>
  <si>
    <t>Free; Surge $4.99/mo; Flare $9.99/mo; Prime $24.99/mo.</t>
  </si>
  <si>
    <t>Plutonium pricing / limits</t>
  </si>
  <si>
    <t>$4.99/mo, $49.99/yr; 500 MB uploads; up to 4K60; higher community/message limits.</t>
  </si>
  <si>
    <t>Sudo billing / streaming</t>
  </si>
  <si>
    <t>Monthly/yearly Sudo billing, up to 1440p60; price is shown in-app rather than public help page.</t>
  </si>
  <si>
    <t>Hosted Community pricing</t>
  </si>
  <si>
    <t>Crew $4.99/mo, Team $8.99/mo, Faction $17.99/mo with annual pricing and slot counts.</t>
  </si>
  <si>
    <t>Self-host licensing</t>
  </si>
  <si>
    <t>https://support.teamspeak.com/hc/en-us/articles/26269724033181-Current-License-Options</t>
  </si>
  <si>
    <t>Paid self-host gamer/server slot licensing through 1024 slots.</t>
  </si>
  <si>
    <t>Cloud / self-host pricing</t>
  </si>
  <si>
    <t>Cloud Free/Standard/Plus and self-host Free/Basic/Business/Enterprise pricing and storage/history entitlements.</t>
  </si>
  <si>
    <t>Current pricing tiers</t>
  </si>
  <si>
    <t>Professional, Enterprise, Enterprise Advanced are contact-sales; limited Entry evaluation exists.</t>
  </si>
  <si>
    <t>Current plans</t>
  </si>
  <si>
    <t>Starter and Community free entry plans; Commercial/Government/Defense sales-led paid plans.</t>
  </si>
  <si>
    <t>Server tier pricing</t>
  </si>
  <si>
    <t>Standard free; Silver $4.99, Gold $9.99, Diamond $19.99; member/channel/upload/media limits.</t>
  </si>
  <si>
    <t>Self-host price</t>
  </si>
  <si>
    <t>https://gamevox.com/self-host/</t>
  </si>
  <si>
    <t>Self-host license $2/month or $15/year after July 1, 2026.</t>
  </si>
  <si>
    <t>No-premium policy / file limits</t>
  </si>
  <si>
    <t>All communication features free; no premium plan; images 50 MB, video/other files 100 MB.</t>
  </si>
  <si>
    <t>Current plans / limits</t>
  </si>
  <si>
    <t>Rift+ $7/mo or $70/yr; Ember $10/mo; Forge $25/mo; upload, bitrate, streaming, emoji, soundboard and webhook limits.</t>
  </si>
  <si>
    <t>Company funding</t>
  </si>
  <si>
    <t>Three-person team, no investors, subscriptions fund operations.</t>
  </si>
  <si>
    <t>Current pricing</t>
  </si>
  <si>
    <t>Use public lobbies free; run own lobby $6/month; custom community builds quoted.</t>
  </si>
  <si>
    <t>E2EE / privacy</t>
  </si>
  <si>
    <t>DM text is client-side E2EE using Signal-style X3DH/Double Ratchet; Shard messages are encrypted at rest but not E2EE.</t>
  </si>
  <si>
    <t>Features / encrypted calls</t>
  </si>
  <si>
    <t>https://therift.chat/features/</t>
  </si>
  <si>
    <t>Encrypted DMs, E2EE direct voice/video/screen calls, Rift Key, and distinction from Splinters/Shard messages.</t>
  </si>
  <si>
    <t>FAQ / AI development</t>
  </si>
  <si>
    <t>https://therift.chat/faq/</t>
  </si>
  <si>
    <t>Three-person team; AI used for parts of code with developer review; security audits planned.</t>
  </si>
  <si>
    <t>Features / channel types / Portals</t>
  </si>
  <si>
    <t>Current first-party list of channel types, Portals, voice launchers, moderation, giveaways, webhooks, Discord import, Studio/Arcade/Tabletop.</t>
  </si>
  <si>
    <t>Channel Types; Extra Features; Embedded Apps; Moderation; Interop</t>
  </si>
  <si>
    <t>FAQ / product model</t>
  </si>
  <si>
    <t>Defines Shards and Portals and current privacy/product positioning.</t>
  </si>
  <si>
    <t>At a Glance; Embedded Apps</t>
  </si>
  <si>
    <t>Web app plugins</t>
  </si>
  <si>
    <t>https://developers.mattermost.com/integrate/plugins/components/webapp/</t>
  </si>
  <si>
    <t>Plugins can add React components, root components and custom post types inside the web/desktop client.</t>
  </si>
  <si>
    <t>First-party developer docs</t>
  </si>
  <si>
    <t>Apps framework / Marketplace</t>
  </si>
  <si>
    <t>https://docs.rocket.chat/docs/rocketchat-apps-faq</t>
  </si>
  <si>
    <t>Apps-Engine, marketplace and private app model; apps install directly into a workspace.</t>
  </si>
  <si>
    <t>Integrations overview</t>
  </si>
  <si>
    <t>https://zulip.com/help/integrations-overview</t>
  </si>
  <si>
    <t>120+ native integrations plus bots/webhooks; strong integration ecosystem but not an embedded-app workspace.</t>
  </si>
  <si>
    <t>First-party help/docs</t>
  </si>
  <si>
    <t>Matrix / Element</t>
  </si>
  <si>
    <t>Custom widgets / integration manager</t>
  </si>
  <si>
    <t>https://docs.element.io/latest/element-server-suite-classic/installation-of-core-components/integrator-section/</t>
  </si>
  <si>
    <t>Element deployments can enable custom widgets that embed web pages; treated as client-dependent rather than Matrix-wide.</t>
  </si>
  <si>
    <t>First-party Element docs</t>
  </si>
  <si>
    <t>Current free upload</t>
  </si>
  <si>
    <t>Non-Nitro baseline currently 20 MB; Discord notes experiments may vary.</t>
  </si>
  <si>
    <t>First-party official</t>
  </si>
  <si>
    <t>Files &amp; Storage; At a Glance</t>
  </si>
  <si>
    <t>Product/features</t>
  </si>
  <si>
    <t>Free/open source; self-host; 20 MB uploads; custom emoji; free server profiles; desktop/mobile/web.</t>
  </si>
  <si>
    <t>Alpha; channels, voice/video/screen share, roles/permissions/events/giveaways and E2EE DMs.</t>
  </si>
  <si>
    <t>Privacy/AI/E2EE</t>
  </si>
  <si>
    <t>No ads/data sale; no AI/LLM training; no E2EE yet; transit/at-rest encryption.</t>
  </si>
  <si>
    <t>Security; AI; Business</t>
  </si>
  <si>
    <t>Element capabilities</t>
  </si>
  <si>
    <t>https://matrix.org/ecosystem/clients/element/</t>
  </si>
  <si>
    <t>Element stable: E2EE, Spaces, threads, 1:1 calls, Jitsi, multi-account, emoji/image packs.</t>
  </si>
  <si>
    <t>First-party ecosystem</t>
  </si>
  <si>
    <t>Features/plans</t>
  </si>
  <si>
    <t>Channels, topic threading, file storage, call providers, integrations, clients and cloud/self-host plans.</t>
  </si>
  <si>
    <t>Plans/features</t>
  </si>
  <si>
    <t>https://docs.mattermost.com/product-overview/plans</t>
  </si>
  <si>
    <t>Channels/DMs/files, 1:1 audio+screen share, threads, search, custom emoji and cross-platform clients.</t>
  </si>
  <si>
    <t>First-party docs</t>
  </si>
  <si>
    <t>Current plans/features</t>
  </si>
  <si>
    <t>Starter/Community/premium plans; messaging, E2EE, Marketplace and federation scope.</t>
  </si>
  <si>
    <t>Self-host voice/video/screen/chat/files; local media traffic; self-host pricing and desktop platforms.</t>
  </si>
  <si>
    <t>Architecture; Media; Pricing</t>
  </si>
  <si>
    <t>Feature checklist</t>
  </si>
  <si>
    <t>https://github.com/Nerimity/nerimity-web/blob/main/README.md</t>
  </si>
  <si>
    <t>DM/server channels, notifications, presence, edit, Markdown, emoji/custom emoji and kick/ban.</t>
  </si>
  <si>
    <t>Verified project repository</t>
  </si>
  <si>
    <t>Core; Basic; Moderation</t>
  </si>
  <si>
    <t>Product/API</t>
  </si>
  <si>
    <t>Custom emoji/stickers, voice infrastructure, zero ads/no third-party sharing and public API.</t>
  </si>
  <si>
    <t>Open beta: text/voice/video/screen, DMs, reactions, threads/forums, polls/events, search/pins, self-host/federation.</t>
  </si>
  <si>
    <t>Voice/screen, forums/threads, announcements, tasks, media channels, calendars; no email/phone/tracking.</t>
  </si>
  <si>
    <t>https://soapbox.pub/armada</t>
  </si>
  <si>
    <t>E2EE Nostr/Concord communities, self-host client/relay/voice, chat/threads/voice/video; free AGPL.</t>
  </si>
  <si>
    <t>Project/features</t>
  </si>
  <si>
    <t>E2EE DM/server media, P2P voice/video/screen, roles/permissions, files, self-host relay and native clients.</t>
  </si>
  <si>
    <t>Project repository</t>
  </si>
  <si>
    <t>Open-source/free, self-hosted/decentralized, voice and screen share up to theoretical 4K60.</t>
  </si>
  <si>
    <t>Plans/limits</t>
  </si>
  <si>
    <t>English canonical plans page for upload, streaming, bitrate, saved-layout and pricing limits.</t>
  </si>
  <si>
    <t>Pricing; Limits; Media</t>
  </si>
  <si>
    <t>Channel types, Portals, voice, moderation, identity/privacy and community tools.</t>
  </si>
  <si>
    <t>AGPL/free/self-host; 1080p screen share with sound, up to four shares, complete chat and Discord-template import.</t>
  </si>
  <si>
    <t>https://github.com/Valour-Software/Valour/blob/main/FAQ.md</t>
  </si>
  <si>
    <t>Planets with chat/thread feed/wiki/voice/roles; importer; self-host/federation; bots/API; no ads/data sale.</t>
  </si>
  <si>
    <t>Lobbies/crews/forums/events, messaging, LiveKit voice, camera/screen share, automod/audit and clients.</t>
  </si>
  <si>
    <t>Homepage</t>
  </si>
  <si>
    <t>https://kaede.chat/</t>
  </si>
  <si>
    <t>Official Kaede website / hosted instance.</t>
  </si>
  <si>
    <t>At a Glance; Website Links</t>
  </si>
  <si>
    <t>Repository / overview</t>
  </si>
  <si>
    <t>MIT repo; self-host/federation overview; web/Tauri/Flutter clients; LiveKit; search; app/bot model; setup docs; current public commit activity.</t>
  </si>
  <si>
    <t>First-party project repository</t>
  </si>
  <si>
    <t>Architecture</t>
  </si>
  <si>
    <t>FastAPI + WebSocket gateway + PostgreSQL + Dragonfly + S3-compatible media + LiveKit; data ownership/federation/search/metrics details.</t>
  </si>
  <si>
    <t>First-party project docs</t>
  </si>
  <si>
    <t>Architecture; Deployment; Search; Files</t>
  </si>
  <si>
    <t>E2EE</t>
  </si>
  <si>
    <t>MLS 1.0 mandatory cipher suite; optional room E2EE for messages/files/voice/video/screen; safety-number verification; bounded recovery cache; metadata limitations.</t>
  </si>
  <si>
    <t>Security; Encryption</t>
  </si>
  <si>
    <t>Media quality</t>
  </si>
  <si>
    <t>Current documented presets top out at Source 4K native / 30 FPS; browser bound 8K; Opus 24/48/96/128; platform-specific screen-audio behavior.</t>
  </si>
  <si>
    <t>Voice; Video; Screen Share</t>
  </si>
  <si>
    <t>Operator/deployment</t>
  </si>
  <si>
    <t>Docker setup, optional email, S3/Garage storage, LiveKit ports, backups, updates, metrics, retention/legal/account limitations.</t>
  </si>
  <si>
    <t>Deployment; Accounts; Operations</t>
  </si>
  <si>
    <t>Developer API / SDK</t>
  </si>
  <si>
    <t>Python kaede-bot SDK, REST/Gateway, buttons/modals, polls, webhooks, scheduled events, soundboard and media APIs.</t>
  </si>
  <si>
    <t>Developer; Apps; Voice</t>
  </si>
  <si>
    <t>Administration / App Directory</t>
  </si>
  <si>
    <t>Admin roles, reports/audit, federated application teams, App Directory, scoped installs/worker keys/permissions.</t>
  </si>
  <si>
    <t>Moderation; Developer</t>
  </si>
  <si>
    <t>Discord bridge</t>
  </si>
  <si>
    <t>https://github.com/CookieNom/KaedeChat/tree/main/official-bots/discord-bridge</t>
  </si>
  <si>
    <t>Official live-message bridge between paired Discord and Kaede plaintext channels.</t>
  </si>
  <si>
    <t>Developer questionnaire</t>
  </si>
  <si>
    <t>Developer-provided details in this comparison request: 15 MB official upload cap, 78 MB Windows initial RAM, current hosting providers, 2 CPU/4 GB small-instance estimate, AI-development stance, current release cadence, solo-dev status, 4K60/audio-capture claim. Where public docs conflict, workbook uses the public docs for current behavior and notes the developer claim.</t>
  </si>
  <si>
    <t>Developer-provided first-party statement</t>
  </si>
  <si>
    <t>Link Type</t>
  </si>
  <si>
    <t>Verified</t>
  </si>
  <si>
    <t>Official Soapbox Armada page</t>
  </si>
  <si>
    <t>Official project site</t>
  </si>
  <si>
    <t>https://discord.com/</t>
  </si>
  <si>
    <t>Primary official website</t>
  </si>
  <si>
    <t>Official website</t>
  </si>
  <si>
    <t>https://fluxer.app/</t>
  </si>
  <si>
    <t>Client repository</t>
  </si>
  <si>
    <t>Client</t>
  </si>
  <si>
    <t>Fermi is a Harmony client; server/platform documentation remains sparse</t>
  </si>
  <si>
    <t>Official source/project description</t>
  </si>
  <si>
    <t>Official Kaede website / hosted instance</t>
  </si>
  <si>
    <t>Project</t>
  </si>
  <si>
    <t>MIT source, deployment docs and protocol/API documentation</t>
  </si>
  <si>
    <t>Protocol/Ecosystem</t>
  </si>
  <si>
    <t>Matrix protocol/ecosystem; client capabilities vary</t>
  </si>
  <si>
    <t>https://mattermost.com/</t>
  </si>
  <si>
    <t>Documentation</t>
  </si>
  <si>
    <t>Official FAQ/docs</t>
  </si>
  <si>
    <t>Official project website</t>
  </si>
  <si>
    <t>GitHub org is domain-verified</t>
  </si>
  <si>
    <t>English page; product also supports Portuguese</t>
  </si>
  <si>
    <t>Primary English site</t>
  </si>
  <si>
    <t>https://www.rocket.chat/</t>
  </si>
  <si>
    <t>Official Roomy project/source</t>
  </si>
  <si>
    <t>https://www.rootapp.com/</t>
  </si>
  <si>
    <t>Official project documentation</t>
  </si>
  <si>
    <t>https://valour.gg/</t>
  </si>
  <si>
    <t>Official website/project</t>
  </si>
  <si>
    <t>Sparse first-party coverage</t>
  </si>
  <si>
    <t>No stable official website/docs located in this pass</t>
  </si>
  <si>
    <t>https://weered.ca/</t>
  </si>
  <si>
    <t>https://zulip.com/</t>
  </si>
  <si>
    <t>German</t>
  </si>
  <si>
    <t>https://gamevox.com/de/</t>
  </si>
  <si>
    <t>Localized homepage</t>
  </si>
  <si>
    <t>German localized site</t>
  </si>
  <si>
    <t>Localized plans</t>
  </si>
  <si>
    <t>Pricing</t>
  </si>
  <si>
    <t>Localized Rift plans; English page remains default source</t>
  </si>
  <si>
    <t>Polish</t>
  </si>
  <si>
    <t>https://gamevox.com/pl/</t>
  </si>
  <si>
    <t>Polish localized site</t>
  </si>
  <si>
    <t>Portuguese (Brazil)</t>
  </si>
  <si>
    <t>https://gamevox.com/br/</t>
  </si>
  <si>
    <t>Brazilian Portuguese localized site</t>
  </si>
  <si>
    <t>Spanish</t>
  </si>
  <si>
    <t>https://gamevox.com/es/</t>
  </si>
  <si>
    <t>Spanish localized site</t>
  </si>
  <si>
    <t>https://therift.chat/es/</t>
  </si>
  <si>
    <t>Localized Rift site</t>
  </si>
  <si>
    <t>Unknowns Before</t>
  </si>
  <si>
    <t>Unknowns After</t>
  </si>
  <si>
    <t>Resolved This Pass</t>
  </si>
  <si>
    <t>Reduction</t>
  </si>
  <si>
    <t>Verification Status</t>
  </si>
  <si>
    <t>Reviewed — official/first-party sources</t>
  </si>
  <si>
    <t>Blank comparison cells mean not documented or not safely inferable from the reviewed first-party sources.</t>
  </si>
  <si>
    <t>Matrix is a protocol/ecosystem, so client-dependent facts remain qualified rather than forced to Yes/No; unresolved cells are blank.</t>
  </si>
  <si>
    <t>Reviewed — sparse first-party documentation</t>
  </si>
  <si>
    <t>Reviewed — client source only; platform/server docs sparse</t>
  </si>
  <si>
    <t>Added — developer questionnaire + public first-party verification</t>
  </si>
  <si>
    <t>741 comparison rows populated; 61 remain unresolved/not safely inferable.</t>
  </si>
  <si>
    <t>Included?</t>
  </si>
  <si>
    <t>r/discordalternatives evidence</t>
  </si>
  <si>
    <t>Official / primary source</t>
  </si>
  <si>
    <t>Status note</t>
  </si>
  <si>
    <t>Research treatment</t>
  </si>
  <si>
    <t>https://www.reddit.com/r/DiscordAlternatives/comments/1tn1js3/discord_alternatives_comparison_sheet/</t>
  </si>
  <si>
    <t>Open beta</t>
  </si>
  <si>
    <t>Filled from official site; U/K where unpublished</t>
  </si>
  <si>
    <t>Primary source verified</t>
  </si>
  <si>
    <t>https://www.reddit.com/r/DiscordAlternatives/comments/1u916jj/70_of_these_alternatives_are_trash_99_arent_even/</t>
  </si>
  <si>
    <t>Official site/GitHub</t>
  </si>
  <si>
    <t>https://www.reddit.com/r/DiscordAlternatives/comments/1tlqhnd/this_sub_is_full_of_vibecoded_clones_osmium_isnt/</t>
  </si>
  <si>
    <t>Public beta</t>
  </si>
  <si>
    <t>Official site/privacy + Reddit discovery</t>
  </si>
  <si>
    <t>Alpha/Beta</t>
  </si>
  <si>
    <t>Developer post + public backend</t>
  </si>
  <si>
    <t>https://mezon.ai/</t>
  </si>
  <si>
    <t>Official docs/GitHub</t>
  </si>
  <si>
    <t>https://www.reddit.com/r/DiscordAlternatives/comments/1sbzjsx/ive_spent_9_years_on_discord_the_next_best_option/</t>
  </si>
  <si>
    <t>Official privacy/product pages</t>
  </si>
  <si>
    <t>https://www.reddit.com/r/DiscordAlternatives/comments/1tlkuxw/title_ive_been_building_a_selfhosted/</t>
  </si>
  <si>
    <t>Beta/new</t>
  </si>
  <si>
    <t>Official site/privacy</t>
  </si>
  <si>
    <t>https://www.reddit.com/r/DiscordAlternatives/</t>
  </si>
  <si>
    <t>Platform is Harmony; Fermi is a client</t>
  </si>
  <si>
    <t>https://www.reddit.com/r/DiscordAlternatives/comments/1v1ljw0/is_there_any_good_discord_alternative_nowdays/</t>
  </si>
  <si>
    <t>ATProto-based app</t>
  </si>
  <si>
    <t>https://www.reddit.com/r/DiscordAlternatives/comments/1wa1q1w/my_personal_list_of_alternatives_i_reccomend_for/</t>
  </si>
  <si>
    <t>Beta/dev</t>
  </si>
  <si>
    <t>Nostr/Concord architecture</t>
  </si>
  <si>
    <t>Developer post + public source/whitepaper</t>
  </si>
  <si>
    <t>https://www.reddit.com/r/DiscordAlternatives/comments/1uyf7jm/adding_a_discord_bridge_to_dcts_work_in_progress/</t>
  </si>
  <si>
    <t>Public</t>
  </si>
  <si>
    <t>https://www.reddit.com/r/DiscordAlternatives/comments/1sdj5ki/warning_about_echon_app_and_its_creator/</t>
  </si>
  <si>
    <t>Public/new</t>
  </si>
  <si>
    <t>Official site; Reddit claims not treated as facts</t>
  </si>
  <si>
    <t>Official site/source-available repo</t>
  </si>
  <si>
    <t>Nexoria.Chat</t>
  </si>
  <si>
    <t>Candidate</t>
  </si>
  <si>
    <t>Not included in 30 because public technical documentation is sparse</t>
  </si>
  <si>
    <t>Discovery only / needs primary source</t>
  </si>
  <si>
    <t>Project reportedly restarting</t>
  </si>
  <si>
    <t>Not included; insufficient current primary-source verification</t>
  </si>
  <si>
    <t>Guilded</t>
  </si>
  <si>
    <t>Historical</t>
  </si>
  <si>
    <t>https://www.guilded.gg/</t>
  </si>
  <si>
    <t>Discontinued 2025</t>
  </si>
  <si>
    <t>Not a current alternative</t>
  </si>
  <si>
    <t>Public Beta 2026</t>
  </si>
  <si>
    <t>Yes  - Shard Settings Option</t>
  </si>
  <si>
    <t>Yes - Persistant voice/communities</t>
  </si>
  <si>
    <t>Yes - App or Screen</t>
  </si>
  <si>
    <t>Yes - Encrypted</t>
  </si>
  <si>
    <t>50 Free / 300 Rift+</t>
  </si>
  <si>
    <t>8 seconds or shorter</t>
  </si>
  <si>
    <t>Direct downloads supported</t>
  </si>
  <si>
    <t>Yes - Windows, Mac &amp; Linux</t>
  </si>
  <si>
    <t>Rust</t>
  </si>
  <si>
    <t>Yes - Available on playstore</t>
  </si>
  <si>
    <t>Testflight Beta - Awaitaing Appstore approval</t>
  </si>
  <si>
    <t>Optional</t>
  </si>
  <si>
    <t>13.5MB + 315MB
Client + Webview2</t>
  </si>
  <si>
    <t>Appiamge &amp; .deb</t>
  </si>
  <si>
    <t>Playstore &amp; APK</t>
  </si>
  <si>
    <t>Testflight - Awaiting appstore approval</t>
  </si>
  <si>
    <t>no</t>
  </si>
  <si>
    <t>optional</t>
  </si>
  <si>
    <t>yes - recovery key</t>
  </si>
  <si>
    <t>yes</t>
  </si>
  <si>
    <t>Yes - Other Logged in Rift Instances</t>
  </si>
  <si>
    <t>Direct Attachement downloads</t>
  </si>
  <si>
    <t>Yes - Account Data Export</t>
  </si>
  <si>
    <t>.json</t>
  </si>
  <si>
    <t>Direct Download</t>
  </si>
  <si>
    <t>E2EE in DMs</t>
  </si>
  <si>
    <t>No Known</t>
  </si>
  <si>
    <t>Yes - built-in automod</t>
  </si>
  <si>
    <t>Command Center</t>
  </si>
  <si>
    <t>5 years</t>
  </si>
  <si>
    <t>5 years; Active 2026 releases</t>
  </si>
  <si>
    <t>Company Development</t>
  </si>
  <si>
    <t>SaaS Continuious</t>
  </si>
  <si>
    <t>minimal</t>
  </si>
  <si>
    <t>AI Assistance used - Commit Notes</t>
  </si>
  <si>
    <t>Self Funded</t>
  </si>
  <si>
    <t>Rift+ &amp; Shard Forge/Ember</t>
  </si>
  <si>
    <t>No paid tier - 1080p Free</t>
  </si>
  <si>
    <t>Yes — 50 MB free → 300 MB Rift+ / 75–100 MB per member Shard tiers</t>
  </si>
  <si>
    <t>2 layouts free/ 8 layouts Rift +</t>
  </si>
  <si>
    <t>Embedded Apps Free / Rift+ Studio</t>
  </si>
  <si>
    <t>Rift+ / Shard Forge or Shard Ember</t>
  </si>
  <si>
    <t>Rift+ $7m
Shard Ember $10/m
Shard Forge $25/m</t>
  </si>
  <si>
    <t>Self/Shard</t>
  </si>
  <si>
    <t>Yes - Shard</t>
  </si>
  <si>
    <t>Yes - Rift +</t>
  </si>
  <si>
    <t>Disabled</t>
  </si>
  <si>
    <t>Enabled with release</t>
  </si>
  <si>
    <t>No Paid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</si>
</sst>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B57"/>
      <name val="Carlito"/>
    </font>
    <font>
      <b/>
      <sz val="15"/>
      <color rgb="FFFFFFFF"/>
      <name val="Carlito"/>
    </font>
    <font>
      <sz val="10"/>
      <color rgb="FF17212B"/>
      <name val="Aptos"/>
    </font>
    <font>
      <b/>
      <sz val="10"/>
      <color rgb="FF17212B"/>
      <name val="Aptos"/>
    </font>
    <font>
      <b/>
      <sz val="10"/>
      <color rgb="FF173B57"/>
      <name val="Aptos"/>
    </font>
    <font>
      <sz val="11"/>
      <color rgb="FF0563C1"/>
      <name val="Carlito"/>
    </font>
    <font>
      <b/>
      <sz val="11"/>
      <color rgb="FF0563C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7F1FF"/>
      </patternFill>
    </fill>
    <fill>
      <patternFill patternType="solid">
        <fgColor rgb="FFE6F4EA"/>
      </patternFill>
    </fill>
    <fill>
      <patternFill patternType="solid">
        <fgColor rgb="FFF2E8FF"/>
      </patternFill>
    </fill>
    <fill>
      <patternFill patternType="solid">
        <fgColor rgb="FFFDECEC"/>
      </patternFill>
    </fill>
    <fill>
      <patternFill patternType="solid">
        <fgColor rgb="FFFFF4DE"/>
      </patternFill>
    </fill>
    <fill>
      <patternFill patternType="solid">
        <fgColor rgb="FFE8F5F5"/>
      </patternFill>
    </fill>
    <fill>
      <patternFill patternType="solid">
        <fgColor rgb="FFEEF0F3"/>
      </patternFill>
    </fill>
    <fill>
      <patternFill patternType="solid">
        <fgColor rgb="FFEEF7FA"/>
      </patternFill>
    </fill>
    <fill>
      <patternFill patternType="solid">
        <fgColor rgb="FF2A8C9F"/>
      </patternFill>
    </fill>
    <fill>
      <patternFill patternType="solid">
        <fgColor rgb="FF4F81B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2" fillId="1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2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wrapText="1"/>
    </xf>
    <xf numFmtId="0" fontId="2" fillId="1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17" borderId="0" xfId="0" applyFont="1" applyFill="1" applyAlignment="1">
      <alignment horizontal="center"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RowHeight="15" x14ac:dyDescent="0.25"/>
  <cols>
    <col min="1" max="1" width="40" customWidth="1"/>
    <col min="2" max="2" width="34" customWidth="1"/>
    <col min="3" max="3" width="64" customWidth="1"/>
    <col min="4" max="5" width="16" customWidth="1"/>
  </cols>
  <sheetData>
    <row r="1" spans="1:5" ht="30" customHeight="1" x14ac:dyDescent="0.35">
      <c r="A1" s="25" t="s">
        <v>0</v>
      </c>
      <c r="B1" s="25"/>
      <c r="C1" s="25"/>
      <c r="D1" s="25"/>
      <c r="E1" s="25"/>
    </row>
    <row r="2" spans="1:5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22" t="s">
        <v>5</v>
      </c>
    </row>
    <row r="3" spans="1:5" ht="24" customHeight="1" x14ac:dyDescent="0.25">
      <c r="A3" s="3" t="s">
        <v>6</v>
      </c>
      <c r="B3" s="3"/>
      <c r="C3" s="3"/>
      <c r="D3" s="3"/>
      <c r="E3" s="3"/>
    </row>
    <row r="4" spans="1:5" x14ac:dyDescent="0.25">
      <c r="A4" s="2"/>
      <c r="B4" s="2" t="s">
        <v>7</v>
      </c>
      <c r="C4" s="2" t="s">
        <v>8</v>
      </c>
      <c r="D4" s="2">
        <v>1</v>
      </c>
      <c r="E4" s="23" t="str">
        <f>IFERROR(HYPERLINK("#'Sheet Directory'!A1","Open"),"Open")</f>
        <v>Open</v>
      </c>
    </row>
    <row r="5" spans="1:5" x14ac:dyDescent="0.25">
      <c r="A5" s="2"/>
      <c r="B5" s="2" t="s">
        <v>9</v>
      </c>
      <c r="C5" s="2" t="s">
        <v>10</v>
      </c>
      <c r="D5" s="2">
        <v>2</v>
      </c>
      <c r="E5" s="23" t="str">
        <f>IFERROR(HYPERLINK("#'At a Glance'!A1","Open"),"Open")</f>
        <v>Open</v>
      </c>
    </row>
    <row r="6" spans="1:5" x14ac:dyDescent="0.25">
      <c r="A6" s="2"/>
      <c r="B6" s="2" t="s">
        <v>11</v>
      </c>
      <c r="C6" s="2" t="s">
        <v>12</v>
      </c>
      <c r="D6" s="2">
        <v>3</v>
      </c>
      <c r="E6" s="23" t="str">
        <f>IFERROR(HYPERLINK("#'Comparison Guide'!A1","Open"),"Open")</f>
        <v>Open</v>
      </c>
    </row>
    <row r="7" spans="1:5" ht="24" customHeight="1" x14ac:dyDescent="0.25">
      <c r="A7" s="4" t="s">
        <v>13</v>
      </c>
      <c r="B7" s="4"/>
      <c r="C7" s="4"/>
      <c r="D7" s="4"/>
      <c r="E7" s="4"/>
    </row>
    <row r="8" spans="1:5" x14ac:dyDescent="0.25">
      <c r="A8" s="2"/>
      <c r="B8" s="2" t="s">
        <v>14</v>
      </c>
      <c r="C8" s="2" t="s">
        <v>15</v>
      </c>
      <c r="D8" s="2">
        <v>4</v>
      </c>
      <c r="E8" s="23" t="str">
        <f>IFERROR(HYPERLINK("#'Core Features'!A1","Open"),"Open")</f>
        <v>Open</v>
      </c>
    </row>
    <row r="9" spans="1:5" x14ac:dyDescent="0.25">
      <c r="A9" s="2"/>
      <c r="B9" s="2" t="s">
        <v>16</v>
      </c>
      <c r="C9" s="2" t="s">
        <v>15</v>
      </c>
      <c r="D9" s="2">
        <v>5</v>
      </c>
      <c r="E9" s="23" t="str">
        <f>IFERROR(HYPERLINK("#'Basic Features'!A1","Open"),"Open")</f>
        <v>Open</v>
      </c>
    </row>
    <row r="10" spans="1:5" x14ac:dyDescent="0.25">
      <c r="A10" s="2"/>
      <c r="B10" s="2" t="s">
        <v>17</v>
      </c>
      <c r="C10" s="2" t="s">
        <v>15</v>
      </c>
      <c r="D10" s="2">
        <v>6</v>
      </c>
      <c r="E10" s="23" t="str">
        <f>IFERROR(HYPERLINK("#'Advanced Features'!A1","Open"),"Open")</f>
        <v>Open</v>
      </c>
    </row>
    <row r="11" spans="1:5" x14ac:dyDescent="0.25">
      <c r="A11" s="2"/>
      <c r="B11" s="2" t="s">
        <v>18</v>
      </c>
      <c r="C11" s="2" t="s">
        <v>15</v>
      </c>
      <c r="D11" s="2">
        <v>7</v>
      </c>
      <c r="E11" s="23" t="str">
        <f>IFERROR(HYPERLINK("#'Channel Types'!A1","Open"),"Open")</f>
        <v>Open</v>
      </c>
    </row>
    <row r="12" spans="1:5" x14ac:dyDescent="0.25">
      <c r="A12" s="2"/>
      <c r="B12" s="2" t="s">
        <v>19</v>
      </c>
      <c r="C12" s="2" t="s">
        <v>15</v>
      </c>
      <c r="D12" s="2">
        <v>8</v>
      </c>
      <c r="E12" s="23" t="str">
        <f>IFERROR(HYPERLINK("#'Extra Features'!A1","Open"),"Open")</f>
        <v>Open</v>
      </c>
    </row>
    <row r="13" spans="1:5" x14ac:dyDescent="0.25">
      <c r="A13" s="2"/>
      <c r="B13" s="2" t="s">
        <v>20</v>
      </c>
      <c r="C13" s="2" t="s">
        <v>15</v>
      </c>
      <c r="D13" s="2">
        <v>9</v>
      </c>
      <c r="E13" s="23" t="str">
        <f>IFERROR(HYPERLINK("#'Embedded Apps'!A1","Open"),"Open")</f>
        <v>Open</v>
      </c>
    </row>
    <row r="14" spans="1:5" x14ac:dyDescent="0.25">
      <c r="A14" s="2"/>
      <c r="B14" s="2" t="s">
        <v>21</v>
      </c>
      <c r="C14" s="2" t="s">
        <v>15</v>
      </c>
      <c r="D14" s="2">
        <v>10</v>
      </c>
      <c r="E14" s="23" t="str">
        <f>IFERROR(HYPERLINK("#'Community Limits'!A1","Open"),"Open")</f>
        <v>Open</v>
      </c>
    </row>
    <row r="15" spans="1:5" ht="24" customHeight="1" x14ac:dyDescent="0.25">
      <c r="A15" s="5" t="s">
        <v>22</v>
      </c>
      <c r="B15" s="5"/>
      <c r="C15" s="5"/>
      <c r="D15" s="5"/>
      <c r="E15" s="5"/>
    </row>
    <row r="16" spans="1:5" x14ac:dyDescent="0.25">
      <c r="A16" s="2"/>
      <c r="B16" s="2" t="s">
        <v>23</v>
      </c>
      <c r="C16" s="2" t="s">
        <v>15</v>
      </c>
      <c r="D16" s="2">
        <v>11</v>
      </c>
      <c r="E16" s="23" t="str">
        <f>IFERROR(HYPERLINK("#'Voice &amp; Audio'!A1","Open"),"Open")</f>
        <v>Open</v>
      </c>
    </row>
    <row r="17" spans="1:5" x14ac:dyDescent="0.25">
      <c r="A17" s="2"/>
      <c r="B17" s="2" t="s">
        <v>24</v>
      </c>
      <c r="C17" s="2" t="s">
        <v>15</v>
      </c>
      <c r="D17" s="2">
        <v>12</v>
      </c>
      <c r="E17" s="23" t="str">
        <f>IFERROR(HYPERLINK("#'Voice Quality Detail'!A1","Open"),"Open")</f>
        <v>Open</v>
      </c>
    </row>
    <row r="18" spans="1:5" x14ac:dyDescent="0.25">
      <c r="A18" s="2"/>
      <c r="B18" s="2" t="s">
        <v>25</v>
      </c>
      <c r="C18" s="2" t="s">
        <v>15</v>
      </c>
      <c r="D18" s="2">
        <v>13</v>
      </c>
      <c r="E18" s="23" t="str">
        <f>IFERROR(HYPERLINK("#'Video &amp; Screen Sharing'!A1","Open"),"Open")</f>
        <v>Open</v>
      </c>
    </row>
    <row r="19" spans="1:5" x14ac:dyDescent="0.25">
      <c r="A19" s="2"/>
      <c r="B19" s="2" t="s">
        <v>26</v>
      </c>
      <c r="C19" s="2" t="s">
        <v>15</v>
      </c>
      <c r="D19" s="2">
        <v>14</v>
      </c>
      <c r="E19" s="23" t="str">
        <f>IFERROR(HYPERLINK("#'Screen Share Detail'!A1","Open"),"Open")</f>
        <v>Open</v>
      </c>
    </row>
    <row r="20" spans="1:5" x14ac:dyDescent="0.25">
      <c r="A20" s="2"/>
      <c r="B20" s="2" t="s">
        <v>27</v>
      </c>
      <c r="C20" s="2" t="s">
        <v>15</v>
      </c>
      <c r="D20" s="2">
        <v>15</v>
      </c>
      <c r="E20" s="23" t="str">
        <f>IFERROR(HYPERLINK("#'Media &amp; Limits'!A1","Open"),"Open")</f>
        <v>Open</v>
      </c>
    </row>
    <row r="21" spans="1:5" x14ac:dyDescent="0.25">
      <c r="A21" s="2"/>
      <c r="B21" s="2" t="s">
        <v>28</v>
      </c>
      <c r="C21" s="2" t="s">
        <v>15</v>
      </c>
      <c r="D21" s="2">
        <v>16</v>
      </c>
      <c r="E21" s="23" t="str">
        <f>IFERROR(HYPERLINK("#'Files &amp; Storage'!A1","Open"),"Open")</f>
        <v>Open</v>
      </c>
    </row>
    <row r="22" spans="1:5" ht="24" customHeight="1" x14ac:dyDescent="0.25">
      <c r="A22" s="6" t="s">
        <v>29</v>
      </c>
      <c r="B22" s="6"/>
      <c r="C22" s="6"/>
      <c r="D22" s="6"/>
      <c r="E22" s="6"/>
    </row>
    <row r="23" spans="1:5" x14ac:dyDescent="0.25">
      <c r="A23" s="2"/>
      <c r="B23" s="2" t="s">
        <v>30</v>
      </c>
      <c r="C23" s="2" t="s">
        <v>15</v>
      </c>
      <c r="D23" s="2">
        <v>17</v>
      </c>
      <c r="E23" s="23" t="str">
        <f>IFERROR(HYPERLINK("#'Platform Model &amp; Ecosystem'!A1","Open"),"Open")</f>
        <v>Open</v>
      </c>
    </row>
    <row r="24" spans="1:5" x14ac:dyDescent="0.25">
      <c r="A24" s="2"/>
      <c r="B24" s="2" t="s">
        <v>31</v>
      </c>
      <c r="C24" s="2" t="s">
        <v>15</v>
      </c>
      <c r="D24" s="2">
        <v>18</v>
      </c>
      <c r="E24" s="23" t="str">
        <f>IFERROR(HYPERLINK("#'Architecture &amp; Licensing'!A1","Open"),"Open")</f>
        <v>Open</v>
      </c>
    </row>
    <row r="25" spans="1:5" x14ac:dyDescent="0.25">
      <c r="A25" s="2"/>
      <c r="B25" s="2" t="s">
        <v>32</v>
      </c>
      <c r="C25" s="2" t="s">
        <v>15</v>
      </c>
      <c r="D25" s="2">
        <v>19</v>
      </c>
      <c r="E25" s="23" t="str">
        <f>IFERROR(HYPERLINK("#'Deployment Detail'!A1","Open"),"Open")</f>
        <v>Open</v>
      </c>
    </row>
    <row r="26" spans="1:5" x14ac:dyDescent="0.25">
      <c r="A26" s="2"/>
      <c r="B26" s="2" t="s">
        <v>33</v>
      </c>
      <c r="C26" s="2" t="s">
        <v>15</v>
      </c>
      <c r="D26" s="2">
        <v>20</v>
      </c>
      <c r="E26" s="23" t="str">
        <f>IFERROR(HYPERLINK("#'Client &amp; Distribution'!A1","Open"),"Open")</f>
        <v>Open</v>
      </c>
    </row>
    <row r="27" spans="1:5" x14ac:dyDescent="0.25">
      <c r="A27" s="2"/>
      <c r="B27" s="2" t="s">
        <v>34</v>
      </c>
      <c r="C27" s="2" t="s">
        <v>15</v>
      </c>
      <c r="D27" s="2">
        <v>21</v>
      </c>
      <c r="E27" s="23" t="str">
        <f>IFERROR(HYPERLINK("#'Performance &amp; Client Stack'!A1","Open"),"Open")</f>
        <v>Open</v>
      </c>
    </row>
    <row r="28" spans="1:5" x14ac:dyDescent="0.25">
      <c r="A28" s="2"/>
      <c r="B28" s="2" t="s">
        <v>35</v>
      </c>
      <c r="C28" s="2" t="s">
        <v>15</v>
      </c>
      <c r="D28" s="2">
        <v>22</v>
      </c>
      <c r="E28" s="23" t="str">
        <f>IFERROR(HYPERLINK("#'Accounts &amp; Identity'!A1","Open"),"Open")</f>
        <v>Open</v>
      </c>
    </row>
    <row r="29" spans="1:5" x14ac:dyDescent="0.25">
      <c r="A29" s="2"/>
      <c r="B29" s="2" t="s">
        <v>36</v>
      </c>
      <c r="C29" s="2" t="s">
        <v>15</v>
      </c>
      <c r="D29" s="2">
        <v>23</v>
      </c>
      <c r="E29" s="23" t="str">
        <f>IFERROR(HYPERLINK("#'Portability &amp; Bridging'!A1","Open"),"Open")</f>
        <v>Open</v>
      </c>
    </row>
    <row r="30" spans="1:5" x14ac:dyDescent="0.25">
      <c r="A30" s="2"/>
      <c r="B30" s="2" t="s">
        <v>37</v>
      </c>
      <c r="C30" s="2" t="s">
        <v>15</v>
      </c>
      <c r="D30" s="2">
        <v>24</v>
      </c>
      <c r="E30" s="23" t="str">
        <f>IFERROR(HYPERLINK("#'Interop &amp; Portability Details'!A1","Open"),"Open")</f>
        <v>Open</v>
      </c>
    </row>
    <row r="31" spans="1:5" ht="24" customHeight="1" x14ac:dyDescent="0.25">
      <c r="A31" s="7" t="s">
        <v>38</v>
      </c>
      <c r="B31" s="7"/>
      <c r="C31" s="7"/>
      <c r="D31" s="7"/>
      <c r="E31" s="7"/>
    </row>
    <row r="32" spans="1:5" x14ac:dyDescent="0.25">
      <c r="A32" s="2"/>
      <c r="B32" s="2" t="s">
        <v>39</v>
      </c>
      <c r="C32" s="2" t="s">
        <v>15</v>
      </c>
      <c r="D32" s="2">
        <v>25</v>
      </c>
      <c r="E32" s="23" t="str">
        <f>IFERROR(HYPERLINK("#'Security &amp; Privacy'!A1","Open"),"Open")</f>
        <v>Open</v>
      </c>
    </row>
    <row r="33" spans="1:5" x14ac:dyDescent="0.25">
      <c r="A33" s="2"/>
      <c r="B33" s="2" t="s">
        <v>40</v>
      </c>
      <c r="C33" s="2" t="s">
        <v>15</v>
      </c>
      <c r="D33" s="2">
        <v>26</v>
      </c>
      <c r="E33" s="23" t="str">
        <f>IFERROR(HYPERLINK("#'Encryption Details'!A1","Open"),"Open")</f>
        <v>Open</v>
      </c>
    </row>
    <row r="34" spans="1:5" x14ac:dyDescent="0.25">
      <c r="A34" s="2"/>
      <c r="B34" s="2" t="s">
        <v>41</v>
      </c>
      <c r="C34" s="2" t="s">
        <v>15</v>
      </c>
      <c r="D34" s="2">
        <v>27</v>
      </c>
      <c r="E34" s="23" t="str">
        <f>IFERROR(HYPERLINK("#'Security Matrix'!A1","Open"),"Open")</f>
        <v>Open</v>
      </c>
    </row>
    <row r="35" spans="1:5" x14ac:dyDescent="0.25">
      <c r="A35" s="2"/>
      <c r="B35" s="2" t="s">
        <v>42</v>
      </c>
      <c r="C35" s="2" t="s">
        <v>15</v>
      </c>
      <c r="D35" s="2">
        <v>28</v>
      </c>
      <c r="E35" s="23" t="str">
        <f>IFERROR(HYPERLINK("#'Security History &amp; Audits'!A1","Open"),"Open")</f>
        <v>Open</v>
      </c>
    </row>
    <row r="36" spans="1:5" x14ac:dyDescent="0.25">
      <c r="A36" s="2"/>
      <c r="B36" s="2" t="s">
        <v>43</v>
      </c>
      <c r="C36" s="2" t="s">
        <v>15</v>
      </c>
      <c r="D36" s="2">
        <v>29</v>
      </c>
      <c r="E36" s="23" t="str">
        <f>IFERROR(HYPERLINK("#'Moderation &amp; Safety'!A1","Open"),"Open")</f>
        <v>Open</v>
      </c>
    </row>
    <row r="37" spans="1:5" x14ac:dyDescent="0.25">
      <c r="A37" s="2"/>
      <c r="B37" s="2" t="s">
        <v>44</v>
      </c>
      <c r="C37" s="2" t="s">
        <v>15</v>
      </c>
      <c r="D37" s="2">
        <v>30</v>
      </c>
      <c r="E37" s="23" t="str">
        <f>IFERROR(HYPERLINK("#'Moderation Detail'!A1","Open"),"Open")</f>
        <v>Open</v>
      </c>
    </row>
    <row r="38" spans="1:5" ht="24" customHeight="1" x14ac:dyDescent="0.25">
      <c r="A38" s="8" t="s">
        <v>45</v>
      </c>
      <c r="B38" s="8"/>
      <c r="C38" s="8"/>
      <c r="D38" s="8"/>
      <c r="E38" s="8"/>
    </row>
    <row r="39" spans="1:5" x14ac:dyDescent="0.25">
      <c r="A39" s="2"/>
      <c r="B39" s="2" t="s">
        <v>46</v>
      </c>
      <c r="C39" s="2" t="s">
        <v>15</v>
      </c>
      <c r="D39" s="2">
        <v>31</v>
      </c>
      <c r="E39" s="23" t="str">
        <f>IFERROR(HYPERLINK("#'Project Origin &amp; Longevity'!A1","Open"),"Open")</f>
        <v>Open</v>
      </c>
    </row>
    <row r="40" spans="1:5" x14ac:dyDescent="0.25">
      <c r="A40" s="2"/>
      <c r="B40" s="2" t="s">
        <v>47</v>
      </c>
      <c r="C40" s="2" t="s">
        <v>15</v>
      </c>
      <c r="D40" s="2">
        <v>32</v>
      </c>
      <c r="E40" s="23" t="str">
        <f>IFERROR(HYPERLINK("#'Project &amp; Maintenance'!A1","Open"),"Open")</f>
        <v>Open</v>
      </c>
    </row>
    <row r="41" spans="1:5" x14ac:dyDescent="0.25">
      <c r="A41" s="2"/>
      <c r="B41" s="2" t="s">
        <v>48</v>
      </c>
      <c r="C41" s="2" t="s">
        <v>15</v>
      </c>
      <c r="D41" s="2">
        <v>33</v>
      </c>
      <c r="E41" s="23" t="str">
        <f>IFERROR(HYPERLINK("#'Maintenance &amp; Updates'!A1","Open"),"Open")</f>
        <v>Open</v>
      </c>
    </row>
    <row r="42" spans="1:5" x14ac:dyDescent="0.25">
      <c r="A42" s="2"/>
      <c r="B42" s="2" t="s">
        <v>49</v>
      </c>
      <c r="C42" s="2" t="s">
        <v>15</v>
      </c>
      <c r="D42" s="2">
        <v>34</v>
      </c>
      <c r="E42" s="23" t="str">
        <f>IFERROR(HYPERLINK("#'Developer Extensibility'!A1","Open"),"Open")</f>
        <v>Open</v>
      </c>
    </row>
    <row r="43" spans="1:5" x14ac:dyDescent="0.25">
      <c r="A43" s="2"/>
      <c r="B43" s="2" t="s">
        <v>50</v>
      </c>
      <c r="C43" s="2" t="s">
        <v>15</v>
      </c>
      <c r="D43" s="2">
        <v>35</v>
      </c>
      <c r="E43" s="23" t="str">
        <f>IFERROR(HYPERLINK("#'Developer API Detail'!A1","Open"),"Open")</f>
        <v>Open</v>
      </c>
    </row>
    <row r="44" spans="1:5" x14ac:dyDescent="0.25">
      <c r="A44" s="2"/>
      <c r="B44" s="2" t="s">
        <v>51</v>
      </c>
      <c r="C44" s="2" t="s">
        <v>15</v>
      </c>
      <c r="D44" s="2">
        <v>36</v>
      </c>
      <c r="E44" s="23" t="str">
        <f>IFERROR(HYPERLINK("#'AI Policy &amp; Transparency'!A1","Open"),"Open")</f>
        <v>Open</v>
      </c>
    </row>
    <row r="45" spans="1:5" x14ac:dyDescent="0.25">
      <c r="A45" s="2"/>
      <c r="B45" s="2" t="s">
        <v>52</v>
      </c>
      <c r="C45" s="2" t="s">
        <v>15</v>
      </c>
      <c r="D45" s="2">
        <v>37</v>
      </c>
      <c r="E45" s="23" t="str">
        <f>IFERROR(HYPERLINK("#'AI &amp; Data Use Detail'!A1","Open"),"Open")</f>
        <v>Open</v>
      </c>
    </row>
    <row r="46" spans="1:5" ht="24" customHeight="1" x14ac:dyDescent="0.25">
      <c r="A46" s="9" t="s">
        <v>53</v>
      </c>
      <c r="B46" s="9"/>
      <c r="C46" s="9"/>
      <c r="D46" s="9"/>
      <c r="E46" s="9"/>
    </row>
    <row r="47" spans="1:5" x14ac:dyDescent="0.25">
      <c r="A47" s="2"/>
      <c r="B47" s="2" t="s">
        <v>54</v>
      </c>
      <c r="C47" s="2" t="s">
        <v>15</v>
      </c>
      <c r="D47" s="2">
        <v>38</v>
      </c>
      <c r="E47" s="23" t="str">
        <f>IFERROR(HYPERLINK("#'Business Model &amp; Sustainability'!A1","Open"),"Open")</f>
        <v>Open</v>
      </c>
    </row>
    <row r="48" spans="1:5" x14ac:dyDescent="0.25">
      <c r="A48" s="2"/>
      <c r="B48" s="2" t="s">
        <v>55</v>
      </c>
      <c r="C48" s="2" t="s">
        <v>15</v>
      </c>
      <c r="D48" s="2">
        <v>39</v>
      </c>
      <c r="E48" s="23" t="str">
        <f>IFERROR(HYPERLINK("#'Pricing Summary'!A1","Open"),"Open")</f>
        <v>Open</v>
      </c>
    </row>
    <row r="49" spans="1:5" x14ac:dyDescent="0.25">
      <c r="A49" s="2"/>
      <c r="B49" s="2" t="s">
        <v>56</v>
      </c>
      <c r="C49" s="2" t="s">
        <v>15</v>
      </c>
      <c r="D49" s="2">
        <v>40</v>
      </c>
      <c r="E49" s="23" t="str">
        <f>IFERROR(HYPERLINK("#'Pricing &amp; Tiers'!A1","Open"),"Open")</f>
        <v>Open</v>
      </c>
    </row>
    <row r="50" spans="1:5" x14ac:dyDescent="0.25">
      <c r="A50" s="2"/>
      <c r="B50" s="2" t="s">
        <v>57</v>
      </c>
      <c r="C50" s="2" t="s">
        <v>15</v>
      </c>
      <c r="D50" s="2">
        <v>41</v>
      </c>
      <c r="E50" s="23" t="str">
        <f>IFERROR(HYPERLINK("#'Feature Entitlements'!A1","Open"),"Open")</f>
        <v>Open</v>
      </c>
    </row>
    <row r="51" spans="1:5" x14ac:dyDescent="0.25">
      <c r="A51" s="2"/>
      <c r="B51" s="2" t="s">
        <v>58</v>
      </c>
      <c r="C51" s="2" t="s">
        <v>15</v>
      </c>
      <c r="D51" s="2">
        <v>42</v>
      </c>
      <c r="E51" s="23" t="str">
        <f>IFERROR(HYPERLINK("#'Monetization Detail'!A1","Open"),"Open")</f>
        <v>Open</v>
      </c>
    </row>
    <row r="52" spans="1:5" x14ac:dyDescent="0.25">
      <c r="A52" s="2"/>
      <c r="B52" s="2" t="s">
        <v>59</v>
      </c>
      <c r="C52" s="2" t="s">
        <v>15</v>
      </c>
      <c r="D52" s="2">
        <v>43</v>
      </c>
      <c r="E52" s="23" t="str">
        <f>IFERROR(HYPERLINK("#'Terms &amp; Privacy'!A1","Open"),"Open")</f>
        <v>Open</v>
      </c>
    </row>
    <row r="53" spans="1:5" ht="24" customHeight="1" x14ac:dyDescent="0.25">
      <c r="A53" s="10" t="s">
        <v>60</v>
      </c>
      <c r="B53" s="10"/>
      <c r="C53" s="10"/>
      <c r="D53" s="10"/>
      <c r="E53" s="10"/>
    </row>
    <row r="54" spans="1:5" x14ac:dyDescent="0.25">
      <c r="A54" s="2"/>
      <c r="B54" s="2" t="s">
        <v>61</v>
      </c>
      <c r="C54" s="2" t="s">
        <v>62</v>
      </c>
      <c r="D54" s="2">
        <v>44</v>
      </c>
      <c r="E54" s="23" t="str">
        <f>IFERROR(HYPERLINK("#'Discord Sources'!A1","Open"),"Open")</f>
        <v>Open</v>
      </c>
    </row>
    <row r="55" spans="1:5" x14ac:dyDescent="0.25">
      <c r="A55" s="2"/>
      <c r="B55" s="2" t="s">
        <v>63</v>
      </c>
      <c r="C55" s="2" t="s">
        <v>64</v>
      </c>
      <c r="D55" s="2">
        <v>45</v>
      </c>
      <c r="E55" s="23" t="str">
        <f>IFERROR(HYPERLINK("#'Research Sources'!A1","Open"),"Open")</f>
        <v>Open</v>
      </c>
    </row>
    <row r="56" spans="1:5" x14ac:dyDescent="0.25">
      <c r="A56" s="2"/>
      <c r="B56" s="2" t="s">
        <v>65</v>
      </c>
      <c r="C56" s="2" t="s">
        <v>66</v>
      </c>
      <c r="D56" s="2">
        <v>46</v>
      </c>
      <c r="E56" s="23" t="str">
        <f>IFERROR(HYPERLINK("#'Website Links'!A1","Open"),"Open")</f>
        <v>Open</v>
      </c>
    </row>
    <row r="57" spans="1:5" x14ac:dyDescent="0.25">
      <c r="A57" s="2"/>
      <c r="B57" s="2" t="s">
        <v>67</v>
      </c>
      <c r="C57" s="2" t="s">
        <v>68</v>
      </c>
      <c r="D57" s="2">
        <v>47</v>
      </c>
      <c r="E57" s="23" t="str">
        <f>IFERROR(HYPERLINK("#'Verification Coverage'!A1","Open"),"Open")</f>
        <v>Open</v>
      </c>
    </row>
    <row r="58" spans="1:5" x14ac:dyDescent="0.25">
      <c r="A58" s="2"/>
      <c r="B58" s="2" t="s">
        <v>69</v>
      </c>
      <c r="C58" s="2" t="s">
        <v>15</v>
      </c>
      <c r="D58" s="2">
        <v>48</v>
      </c>
      <c r="E58" s="23" t="str">
        <f>IFERROR(HYPERLINK("#'Subreddit Discovery'!A1","Open"),"Open")</f>
        <v>Open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40" customWidth="1"/>
    <col min="2" max="32" width="24" customWidth="1"/>
  </cols>
  <sheetData>
    <row r="1" spans="1:32" ht="27.95" customHeight="1" x14ac:dyDescent="0.25">
      <c r="A1" s="26" t="str">
        <f>IFERROR(HYPERLINK("#'Sheet Directory'!A1","At a Glance"),"At a Glance")</f>
        <v>At a Glance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101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102</v>
      </c>
    </row>
    <row r="4" spans="1:32" ht="36" customHeight="1" x14ac:dyDescent="0.25">
      <c r="A4" s="14" t="s">
        <v>103</v>
      </c>
      <c r="B4" s="13" t="s">
        <v>104</v>
      </c>
      <c r="C4" s="13" t="s">
        <v>105</v>
      </c>
      <c r="D4" s="13" t="s">
        <v>106</v>
      </c>
      <c r="E4" s="13" t="s">
        <v>107</v>
      </c>
      <c r="F4" s="13"/>
      <c r="G4" s="13" t="s">
        <v>108</v>
      </c>
      <c r="H4" s="13" t="s">
        <v>109</v>
      </c>
      <c r="I4" s="13" t="s">
        <v>110</v>
      </c>
      <c r="J4" s="13" t="s">
        <v>111</v>
      </c>
      <c r="K4" s="13" t="s">
        <v>112</v>
      </c>
      <c r="L4" s="13" t="s">
        <v>113</v>
      </c>
      <c r="M4" s="13" t="s">
        <v>113</v>
      </c>
      <c r="N4" s="13" t="s">
        <v>114</v>
      </c>
      <c r="O4" s="13"/>
      <c r="P4" s="13" t="s">
        <v>115</v>
      </c>
      <c r="Q4" s="13" t="s">
        <v>116</v>
      </c>
      <c r="R4" s="13" t="s">
        <v>117</v>
      </c>
      <c r="S4" s="13"/>
      <c r="T4" s="13"/>
      <c r="U4" s="13" t="s">
        <v>116</v>
      </c>
      <c r="V4" s="13" t="s">
        <v>118</v>
      </c>
      <c r="W4" s="13"/>
      <c r="X4" s="13" t="s">
        <v>116</v>
      </c>
      <c r="Y4" s="13" t="s">
        <v>119</v>
      </c>
      <c r="Z4" s="13" t="s">
        <v>120</v>
      </c>
      <c r="AA4" s="17" t="s">
        <v>121</v>
      </c>
      <c r="AB4" s="13" t="s">
        <v>121</v>
      </c>
      <c r="AC4" s="13" t="s">
        <v>121</v>
      </c>
      <c r="AD4" s="13"/>
      <c r="AE4" s="13" t="s">
        <v>122</v>
      </c>
      <c r="AF4" t="s">
        <v>123</v>
      </c>
    </row>
    <row r="5" spans="1:32" ht="36" customHeight="1" x14ac:dyDescent="0.25">
      <c r="A5" s="14" t="s">
        <v>124</v>
      </c>
      <c r="B5" s="13" t="s">
        <v>125</v>
      </c>
      <c r="C5" s="13" t="s">
        <v>126</v>
      </c>
      <c r="D5" s="13" t="s">
        <v>127</v>
      </c>
      <c r="E5" s="13" t="s">
        <v>128</v>
      </c>
      <c r="F5" s="13" t="s">
        <v>129</v>
      </c>
      <c r="G5" s="13" t="s">
        <v>130</v>
      </c>
      <c r="H5" s="13" t="s">
        <v>131</v>
      </c>
      <c r="I5" s="13" t="s">
        <v>125</v>
      </c>
      <c r="J5" s="13" t="s">
        <v>132</v>
      </c>
      <c r="K5" s="13" t="s">
        <v>125</v>
      </c>
      <c r="L5" s="13" t="s">
        <v>125</v>
      </c>
      <c r="M5" s="13" t="s">
        <v>125</v>
      </c>
      <c r="N5" s="13" t="s">
        <v>133</v>
      </c>
      <c r="O5" s="13" t="s">
        <v>134</v>
      </c>
      <c r="P5" s="13" t="s">
        <v>128</v>
      </c>
      <c r="Q5" s="13" t="s">
        <v>133</v>
      </c>
      <c r="R5" s="13" t="s">
        <v>135</v>
      </c>
      <c r="S5" s="13" t="s">
        <v>134</v>
      </c>
      <c r="T5" s="13" t="s">
        <v>127</v>
      </c>
      <c r="U5" s="13" t="s">
        <v>129</v>
      </c>
      <c r="V5" s="13" t="s">
        <v>136</v>
      </c>
      <c r="W5" s="13" t="s">
        <v>137</v>
      </c>
      <c r="X5" s="13" t="s">
        <v>138</v>
      </c>
      <c r="Y5" s="13" t="s">
        <v>135</v>
      </c>
      <c r="Z5" s="13" t="s">
        <v>138</v>
      </c>
      <c r="AA5" s="17" t="s">
        <v>134</v>
      </c>
      <c r="AB5" s="13" t="s">
        <v>129</v>
      </c>
      <c r="AC5" s="13" t="s">
        <v>139</v>
      </c>
      <c r="AD5" s="13" t="s">
        <v>127</v>
      </c>
      <c r="AE5" s="13" t="s">
        <v>128</v>
      </c>
      <c r="AF5" t="s">
        <v>140</v>
      </c>
    </row>
    <row r="6" spans="1:32" ht="36" customHeight="1" x14ac:dyDescent="0.25">
      <c r="A6" s="14" t="s">
        <v>141</v>
      </c>
      <c r="B6" s="13" t="s">
        <v>142</v>
      </c>
      <c r="C6" s="13" t="s">
        <v>143</v>
      </c>
      <c r="D6" s="13" t="s">
        <v>144</v>
      </c>
      <c r="E6" s="13" t="s">
        <v>143</v>
      </c>
      <c r="F6" s="13" t="s">
        <v>145</v>
      </c>
      <c r="G6" s="13" t="s">
        <v>146</v>
      </c>
      <c r="H6" s="13" t="s">
        <v>147</v>
      </c>
      <c r="I6" s="13" t="s">
        <v>148</v>
      </c>
      <c r="J6" s="13" t="s">
        <v>149</v>
      </c>
      <c r="K6" s="13" t="s">
        <v>150</v>
      </c>
      <c r="L6" s="13" t="s">
        <v>151</v>
      </c>
      <c r="M6" s="13" t="s">
        <v>152</v>
      </c>
      <c r="N6" s="13" t="s">
        <v>153</v>
      </c>
      <c r="O6" s="13" t="s">
        <v>154</v>
      </c>
      <c r="P6" s="13" t="s">
        <v>155</v>
      </c>
      <c r="Q6" s="13" t="s">
        <v>156</v>
      </c>
      <c r="R6" s="13" t="s">
        <v>157</v>
      </c>
      <c r="S6" s="13"/>
      <c r="T6" s="13" t="s">
        <v>145</v>
      </c>
      <c r="U6" s="13" t="s">
        <v>158</v>
      </c>
      <c r="V6" s="13" t="s">
        <v>159</v>
      </c>
      <c r="W6" s="13" t="s">
        <v>160</v>
      </c>
      <c r="X6" s="13" t="s">
        <v>161</v>
      </c>
      <c r="Y6" s="13" t="s">
        <v>162</v>
      </c>
      <c r="Z6" s="13" t="s">
        <v>163</v>
      </c>
      <c r="AA6" s="17" t="s">
        <v>145</v>
      </c>
      <c r="AB6" s="13" t="s">
        <v>164</v>
      </c>
      <c r="AC6" s="13" t="s">
        <v>145</v>
      </c>
      <c r="AD6" s="13" t="s">
        <v>165</v>
      </c>
      <c r="AE6" s="13" t="s">
        <v>166</v>
      </c>
      <c r="AF6" t="s">
        <v>167</v>
      </c>
    </row>
    <row r="7" spans="1:32" ht="36" customHeight="1" x14ac:dyDescent="0.25">
      <c r="A7" s="14" t="s">
        <v>168</v>
      </c>
      <c r="B7" s="13" t="s">
        <v>169</v>
      </c>
      <c r="C7" s="13" t="s">
        <v>170</v>
      </c>
      <c r="D7" s="13" t="s">
        <v>171</v>
      </c>
      <c r="E7" s="13" t="s">
        <v>172</v>
      </c>
      <c r="F7" s="13" t="s">
        <v>169</v>
      </c>
      <c r="G7" s="13" t="s">
        <v>173</v>
      </c>
      <c r="H7" s="13" t="s">
        <v>174</v>
      </c>
      <c r="I7" s="13" t="s">
        <v>175</v>
      </c>
      <c r="J7" s="13" t="s">
        <v>169</v>
      </c>
      <c r="K7" s="13" t="s">
        <v>176</v>
      </c>
      <c r="L7" s="13" t="s">
        <v>177</v>
      </c>
      <c r="M7" s="13" t="s">
        <v>178</v>
      </c>
      <c r="N7" s="13" t="s">
        <v>169</v>
      </c>
      <c r="O7" s="13" t="s">
        <v>179</v>
      </c>
      <c r="P7" s="13"/>
      <c r="Q7" s="13"/>
      <c r="R7" s="13" t="s">
        <v>180</v>
      </c>
      <c r="S7" s="13" t="s">
        <v>181</v>
      </c>
      <c r="T7" s="13" t="s">
        <v>169</v>
      </c>
      <c r="U7" s="13"/>
      <c r="V7" s="13" t="s">
        <v>182</v>
      </c>
      <c r="W7" s="13" t="s">
        <v>183</v>
      </c>
      <c r="X7" s="13" t="s">
        <v>184</v>
      </c>
      <c r="Y7" s="13" t="s">
        <v>185</v>
      </c>
      <c r="Z7" s="13" t="s">
        <v>186</v>
      </c>
      <c r="AA7" s="17" t="s">
        <v>169</v>
      </c>
      <c r="AB7" s="13" t="s">
        <v>187</v>
      </c>
      <c r="AC7" s="13" t="s">
        <v>188</v>
      </c>
      <c r="AD7" s="13" t="s">
        <v>189</v>
      </c>
      <c r="AE7" s="13" t="s">
        <v>190</v>
      </c>
      <c r="AF7" t="s">
        <v>191</v>
      </c>
    </row>
    <row r="8" spans="1:32" ht="36" customHeight="1" x14ac:dyDescent="0.25">
      <c r="A8" s="14" t="s">
        <v>192</v>
      </c>
      <c r="B8" s="13" t="s">
        <v>193</v>
      </c>
      <c r="C8" s="13" t="s">
        <v>194</v>
      </c>
      <c r="D8" s="13" t="s">
        <v>195</v>
      </c>
      <c r="E8" s="13" t="s">
        <v>196</v>
      </c>
      <c r="F8" s="13" t="s">
        <v>197</v>
      </c>
      <c r="G8" s="13" t="s">
        <v>198</v>
      </c>
      <c r="H8" s="13" t="s">
        <v>199</v>
      </c>
      <c r="I8" s="13" t="s">
        <v>200</v>
      </c>
      <c r="J8" s="13"/>
      <c r="K8" s="13" t="s">
        <v>201</v>
      </c>
      <c r="L8" s="13" t="s">
        <v>202</v>
      </c>
      <c r="M8" s="13" t="s">
        <v>203</v>
      </c>
      <c r="N8" s="13" t="s">
        <v>204</v>
      </c>
      <c r="O8" s="13" t="s">
        <v>205</v>
      </c>
      <c r="P8" s="13" t="s">
        <v>206</v>
      </c>
      <c r="Q8" s="13" t="s">
        <v>207</v>
      </c>
      <c r="R8" s="13" t="s">
        <v>208</v>
      </c>
      <c r="S8" s="13" t="s">
        <v>209</v>
      </c>
      <c r="T8" s="13" t="s">
        <v>210</v>
      </c>
      <c r="U8" s="13" t="s">
        <v>211</v>
      </c>
      <c r="V8" s="13" t="s">
        <v>212</v>
      </c>
      <c r="W8" s="13" t="s">
        <v>213</v>
      </c>
      <c r="X8" s="13" t="s">
        <v>214</v>
      </c>
      <c r="Y8" s="13" t="s">
        <v>215</v>
      </c>
      <c r="Z8" s="13" t="s">
        <v>216</v>
      </c>
      <c r="AA8" s="17" t="s">
        <v>217</v>
      </c>
      <c r="AB8" s="13" t="s">
        <v>218</v>
      </c>
      <c r="AC8" s="13" t="s">
        <v>206</v>
      </c>
      <c r="AD8" s="13" t="s">
        <v>219</v>
      </c>
      <c r="AE8" s="13" t="s">
        <v>206</v>
      </c>
      <c r="AF8" t="s">
        <v>220</v>
      </c>
    </row>
    <row r="9" spans="1:32" ht="36" customHeight="1" x14ac:dyDescent="0.25">
      <c r="A9" s="14" t="s">
        <v>221</v>
      </c>
      <c r="B9" s="13" t="s">
        <v>222</v>
      </c>
      <c r="C9" s="13" t="s">
        <v>223</v>
      </c>
      <c r="D9" s="13" t="s">
        <v>224</v>
      </c>
      <c r="E9" s="13" t="s">
        <v>225</v>
      </c>
      <c r="F9" s="13" t="s">
        <v>197</v>
      </c>
      <c r="G9" s="13" t="s">
        <v>226</v>
      </c>
      <c r="H9" s="13" t="s">
        <v>227</v>
      </c>
      <c r="I9" s="13" t="s">
        <v>228</v>
      </c>
      <c r="J9" s="13"/>
      <c r="K9" s="13" t="s">
        <v>225</v>
      </c>
      <c r="L9" s="13" t="s">
        <v>225</v>
      </c>
      <c r="M9" s="13" t="s">
        <v>229</v>
      </c>
      <c r="N9" s="13" t="s">
        <v>230</v>
      </c>
      <c r="O9" s="13" t="s">
        <v>225</v>
      </c>
      <c r="P9" s="13" t="s">
        <v>225</v>
      </c>
      <c r="Q9" s="13" t="s">
        <v>231</v>
      </c>
      <c r="R9" s="13"/>
      <c r="S9" s="13"/>
      <c r="T9" s="13"/>
      <c r="U9" s="13"/>
      <c r="V9" s="13" t="s">
        <v>225</v>
      </c>
      <c r="W9" s="13" t="s">
        <v>225</v>
      </c>
      <c r="X9" s="13" t="s">
        <v>232</v>
      </c>
      <c r="Y9" s="13" t="s">
        <v>233</v>
      </c>
      <c r="Z9" s="13" t="s">
        <v>234</v>
      </c>
      <c r="AA9" s="17" t="s">
        <v>235</v>
      </c>
      <c r="AB9" s="13" t="s">
        <v>225</v>
      </c>
      <c r="AC9" s="13" t="s">
        <v>225</v>
      </c>
      <c r="AD9" s="13" t="s">
        <v>225</v>
      </c>
      <c r="AE9" s="13" t="s">
        <v>225</v>
      </c>
      <c r="AF9" t="s">
        <v>220</v>
      </c>
    </row>
    <row r="10" spans="1:32" ht="36" customHeight="1" x14ac:dyDescent="0.25">
      <c r="A10" s="14" t="s">
        <v>236</v>
      </c>
      <c r="B10" s="13" t="s">
        <v>237</v>
      </c>
      <c r="C10" s="13"/>
      <c r="D10" s="13"/>
      <c r="E10" s="13" t="s">
        <v>237</v>
      </c>
      <c r="F10" s="13" t="s">
        <v>238</v>
      </c>
      <c r="G10" s="13" t="s">
        <v>239</v>
      </c>
      <c r="H10" s="13"/>
      <c r="I10" s="13" t="s">
        <v>240</v>
      </c>
      <c r="J10" s="13"/>
      <c r="K10" s="13" t="s">
        <v>241</v>
      </c>
      <c r="L10" s="13"/>
      <c r="M10" s="13"/>
      <c r="N10" s="13" t="s">
        <v>242</v>
      </c>
      <c r="O10" s="13"/>
      <c r="P10" s="13"/>
      <c r="Q10" s="13"/>
      <c r="R10" s="13"/>
      <c r="S10" s="13"/>
      <c r="T10" s="13"/>
      <c r="U10" s="13" t="s">
        <v>243</v>
      </c>
      <c r="V10" s="13" t="s">
        <v>244</v>
      </c>
      <c r="W10" s="13"/>
      <c r="X10" s="13"/>
      <c r="Y10" s="13"/>
      <c r="Z10" s="13" t="s">
        <v>245</v>
      </c>
      <c r="AA10" s="17" t="s">
        <v>246</v>
      </c>
      <c r="AB10" s="13" t="s">
        <v>247</v>
      </c>
      <c r="AC10" s="13"/>
      <c r="AD10" s="13"/>
      <c r="AE10" s="13"/>
      <c r="AF10" t="s">
        <v>248</v>
      </c>
    </row>
    <row r="11" spans="1:32" ht="36" customHeight="1" x14ac:dyDescent="0.25">
      <c r="A11" s="14" t="s">
        <v>249</v>
      </c>
      <c r="B11" s="13" t="s">
        <v>250</v>
      </c>
      <c r="C11" s="13" t="s">
        <v>215</v>
      </c>
      <c r="D11" s="13" t="s">
        <v>215</v>
      </c>
      <c r="E11" s="13" t="s">
        <v>215</v>
      </c>
      <c r="F11" s="13" t="s">
        <v>215</v>
      </c>
      <c r="G11" s="13" t="s">
        <v>251</v>
      </c>
      <c r="H11" s="13" t="s">
        <v>252</v>
      </c>
      <c r="I11" s="13" t="s">
        <v>225</v>
      </c>
      <c r="J11" s="13"/>
      <c r="K11" s="13" t="s">
        <v>215</v>
      </c>
      <c r="L11" s="13" t="s">
        <v>215</v>
      </c>
      <c r="M11" s="13" t="s">
        <v>215</v>
      </c>
      <c r="N11" s="13" t="s">
        <v>215</v>
      </c>
      <c r="O11" s="13" t="s">
        <v>215</v>
      </c>
      <c r="P11" s="13"/>
      <c r="Q11" s="13" t="s">
        <v>215</v>
      </c>
      <c r="R11" s="13"/>
      <c r="S11" s="13" t="s">
        <v>215</v>
      </c>
      <c r="T11" s="13"/>
      <c r="U11" s="13" t="s">
        <v>253</v>
      </c>
      <c r="V11" s="13" t="s">
        <v>254</v>
      </c>
      <c r="W11" s="13"/>
      <c r="X11" s="13"/>
      <c r="Y11" s="13" t="s">
        <v>255</v>
      </c>
      <c r="Z11" s="13" t="s">
        <v>215</v>
      </c>
      <c r="AA11" s="17" t="s">
        <v>256</v>
      </c>
      <c r="AB11" s="13" t="s">
        <v>215</v>
      </c>
      <c r="AC11" s="13" t="s">
        <v>215</v>
      </c>
      <c r="AD11" s="13" t="s">
        <v>215</v>
      </c>
      <c r="AE11" s="13" t="s">
        <v>215</v>
      </c>
      <c r="AF11" t="s">
        <v>257</v>
      </c>
    </row>
    <row r="12" spans="1:32" ht="36" customHeight="1" x14ac:dyDescent="0.25">
      <c r="A12" s="14" t="s">
        <v>258</v>
      </c>
      <c r="B12" s="13" t="s">
        <v>259</v>
      </c>
      <c r="C12" s="13" t="s">
        <v>259</v>
      </c>
      <c r="D12" s="13" t="s">
        <v>215</v>
      </c>
      <c r="E12" s="13" t="s">
        <v>215</v>
      </c>
      <c r="F12" s="13" t="s">
        <v>215</v>
      </c>
      <c r="G12" s="13" t="s">
        <v>260</v>
      </c>
      <c r="H12" s="13" t="s">
        <v>261</v>
      </c>
      <c r="I12" s="13" t="s">
        <v>262</v>
      </c>
      <c r="J12" s="13" t="s">
        <v>215</v>
      </c>
      <c r="K12" s="13" t="s">
        <v>263</v>
      </c>
      <c r="L12" s="13" t="s">
        <v>264</v>
      </c>
      <c r="M12" s="13" t="s">
        <v>265</v>
      </c>
      <c r="N12" s="13" t="s">
        <v>215</v>
      </c>
      <c r="O12" s="13"/>
      <c r="P12" s="13" t="s">
        <v>215</v>
      </c>
      <c r="Q12" s="13" t="s">
        <v>215</v>
      </c>
      <c r="R12" s="13"/>
      <c r="S12" s="13" t="s">
        <v>215</v>
      </c>
      <c r="T12" s="13" t="s">
        <v>215</v>
      </c>
      <c r="U12" s="13" t="s">
        <v>215</v>
      </c>
      <c r="V12" s="13" t="s">
        <v>266</v>
      </c>
      <c r="W12" s="13" t="s">
        <v>267</v>
      </c>
      <c r="X12" s="13" t="s">
        <v>215</v>
      </c>
      <c r="Y12" s="13" t="s">
        <v>268</v>
      </c>
      <c r="Z12" s="13" t="s">
        <v>215</v>
      </c>
      <c r="AA12" s="17" t="s">
        <v>215</v>
      </c>
      <c r="AB12" s="13" t="s">
        <v>215</v>
      </c>
      <c r="AC12" s="13" t="s">
        <v>215</v>
      </c>
      <c r="AD12" s="13" t="s">
        <v>215</v>
      </c>
      <c r="AE12" s="13" t="s">
        <v>215</v>
      </c>
      <c r="AF12" t="s">
        <v>215</v>
      </c>
    </row>
    <row r="13" spans="1:32" ht="36" customHeight="1" x14ac:dyDescent="0.25">
      <c r="A13" s="14" t="s">
        <v>269</v>
      </c>
      <c r="B13" s="13" t="s">
        <v>270</v>
      </c>
      <c r="C13" s="13" t="s">
        <v>271</v>
      </c>
      <c r="D13" s="13" t="s">
        <v>272</v>
      </c>
      <c r="E13" s="13" t="s">
        <v>273</v>
      </c>
      <c r="F13" s="13" t="s">
        <v>274</v>
      </c>
      <c r="G13" s="13" t="s">
        <v>275</v>
      </c>
      <c r="H13" s="13" t="s">
        <v>276</v>
      </c>
      <c r="I13" s="13" t="s">
        <v>276</v>
      </c>
      <c r="J13" s="13" t="s">
        <v>277</v>
      </c>
      <c r="K13" s="13" t="s">
        <v>278</v>
      </c>
      <c r="L13" s="13" t="s">
        <v>279</v>
      </c>
      <c r="M13" s="13" t="s">
        <v>280</v>
      </c>
      <c r="N13" s="13" t="s">
        <v>277</v>
      </c>
      <c r="O13" s="13" t="s">
        <v>281</v>
      </c>
      <c r="P13" s="13" t="s">
        <v>282</v>
      </c>
      <c r="Q13" s="13" t="s">
        <v>283</v>
      </c>
      <c r="R13" s="13" t="s">
        <v>281</v>
      </c>
      <c r="S13" s="13" t="s">
        <v>284</v>
      </c>
      <c r="T13" s="13" t="s">
        <v>282</v>
      </c>
      <c r="U13" s="13" t="s">
        <v>276</v>
      </c>
      <c r="V13" s="13" t="s">
        <v>276</v>
      </c>
      <c r="W13" s="13" t="s">
        <v>276</v>
      </c>
      <c r="X13" s="13" t="s">
        <v>276</v>
      </c>
      <c r="Y13" s="13" t="s">
        <v>276</v>
      </c>
      <c r="Z13" s="13" t="s">
        <v>276</v>
      </c>
      <c r="AA13" s="17" t="s">
        <v>285</v>
      </c>
      <c r="AB13" s="13" t="s">
        <v>281</v>
      </c>
      <c r="AC13" s="13" t="s">
        <v>286</v>
      </c>
      <c r="AD13" s="13" t="s">
        <v>287</v>
      </c>
      <c r="AE13" s="13" t="s">
        <v>288</v>
      </c>
      <c r="AF13" t="s">
        <v>225</v>
      </c>
    </row>
    <row r="14" spans="1:32" ht="36" customHeight="1" x14ac:dyDescent="0.25">
      <c r="A14" s="14" t="s">
        <v>289</v>
      </c>
      <c r="B14" s="13" t="s">
        <v>290</v>
      </c>
      <c r="C14" s="13"/>
      <c r="D14" s="13"/>
      <c r="E14" s="13" t="s">
        <v>291</v>
      </c>
      <c r="F14" s="13" t="s">
        <v>292</v>
      </c>
      <c r="G14" s="13" t="s">
        <v>293</v>
      </c>
      <c r="H14" s="13" t="s">
        <v>294</v>
      </c>
      <c r="I14" s="13" t="s">
        <v>295</v>
      </c>
      <c r="J14" s="13"/>
      <c r="K14" s="13"/>
      <c r="L14" s="13" t="s">
        <v>296</v>
      </c>
      <c r="M14" s="13" t="s">
        <v>296</v>
      </c>
      <c r="N14" s="13"/>
      <c r="O14" s="13"/>
      <c r="P14" s="13"/>
      <c r="Q14" s="13"/>
      <c r="R14" s="13"/>
      <c r="S14" s="13"/>
      <c r="T14" s="13" t="s">
        <v>297</v>
      </c>
      <c r="U14" s="13" t="s">
        <v>298</v>
      </c>
      <c r="V14" s="13" t="s">
        <v>299</v>
      </c>
      <c r="W14" s="13" t="s">
        <v>300</v>
      </c>
      <c r="X14" s="13" t="s">
        <v>301</v>
      </c>
      <c r="Y14" s="13" t="s">
        <v>302</v>
      </c>
      <c r="Z14" s="13" t="s">
        <v>303</v>
      </c>
      <c r="AA14" s="17" t="s">
        <v>304</v>
      </c>
      <c r="AB14" s="13"/>
      <c r="AC14" s="13" t="s">
        <v>305</v>
      </c>
      <c r="AD14" s="13"/>
      <c r="AE14" s="13"/>
      <c r="AF14" t="s">
        <v>306</v>
      </c>
    </row>
    <row r="15" spans="1:32" ht="36" customHeight="1" x14ac:dyDescent="0.25">
      <c r="A15" s="14" t="s">
        <v>307</v>
      </c>
      <c r="B15" s="13" t="s">
        <v>308</v>
      </c>
      <c r="C15" s="13" t="s">
        <v>309</v>
      </c>
      <c r="D15" s="13" t="s">
        <v>310</v>
      </c>
      <c r="E15" s="13" t="s">
        <v>311</v>
      </c>
      <c r="F15" s="13" t="s">
        <v>312</v>
      </c>
      <c r="G15" s="13" t="s">
        <v>313</v>
      </c>
      <c r="H15" s="13" t="s">
        <v>314</v>
      </c>
      <c r="I15" s="13" t="s">
        <v>315</v>
      </c>
      <c r="J15" s="13" t="s">
        <v>316</v>
      </c>
      <c r="K15" s="13" t="s">
        <v>317</v>
      </c>
      <c r="L15" s="13" t="s">
        <v>318</v>
      </c>
      <c r="M15" s="13" t="s">
        <v>319</v>
      </c>
      <c r="N15" s="13" t="s">
        <v>320</v>
      </c>
      <c r="O15" s="13" t="s">
        <v>321</v>
      </c>
      <c r="P15" s="13" t="s">
        <v>322</v>
      </c>
      <c r="Q15" s="13" t="s">
        <v>323</v>
      </c>
      <c r="R15" s="13" t="s">
        <v>324</v>
      </c>
      <c r="S15" s="13" t="s">
        <v>325</v>
      </c>
      <c r="T15" s="13" t="s">
        <v>326</v>
      </c>
      <c r="U15" s="13" t="s">
        <v>327</v>
      </c>
      <c r="V15" s="13" t="s">
        <v>328</v>
      </c>
      <c r="W15" s="13" t="s">
        <v>329</v>
      </c>
      <c r="X15" s="13" t="s">
        <v>330</v>
      </c>
      <c r="Y15" s="13" t="s">
        <v>331</v>
      </c>
      <c r="Z15" s="13" t="s">
        <v>332</v>
      </c>
      <c r="AA15" s="17" t="s">
        <v>333</v>
      </c>
      <c r="AB15" s="13" t="s">
        <v>334</v>
      </c>
      <c r="AC15" s="13" t="s">
        <v>335</v>
      </c>
      <c r="AD15" s="13" t="s">
        <v>336</v>
      </c>
      <c r="AE15" s="13" t="s">
        <v>337</v>
      </c>
      <c r="AF15" t="s">
        <v>338</v>
      </c>
    </row>
    <row r="16" spans="1:32" ht="36" customHeight="1" x14ac:dyDescent="0.25">
      <c r="A16" s="14" t="s">
        <v>339</v>
      </c>
      <c r="B16" s="13" t="s">
        <v>340</v>
      </c>
      <c r="C16" s="13" t="s">
        <v>341</v>
      </c>
      <c r="D16" s="13" t="s">
        <v>342</v>
      </c>
      <c r="E16" s="13" t="s">
        <v>343</v>
      </c>
      <c r="F16" s="13" t="s">
        <v>344</v>
      </c>
      <c r="G16" s="13" t="s">
        <v>345</v>
      </c>
      <c r="H16" s="13" t="s">
        <v>346</v>
      </c>
      <c r="I16" s="13" t="s">
        <v>225</v>
      </c>
      <c r="J16" s="13" t="s">
        <v>225</v>
      </c>
      <c r="K16" s="13" t="s">
        <v>347</v>
      </c>
      <c r="L16" s="13" t="s">
        <v>225</v>
      </c>
      <c r="M16" s="13" t="s">
        <v>348</v>
      </c>
      <c r="N16" s="13" t="s">
        <v>349</v>
      </c>
      <c r="O16" s="13" t="s">
        <v>225</v>
      </c>
      <c r="P16" s="13" t="s">
        <v>350</v>
      </c>
      <c r="Q16" s="13" t="s">
        <v>351</v>
      </c>
      <c r="R16" s="13" t="s">
        <v>225</v>
      </c>
      <c r="S16" s="13"/>
      <c r="T16" s="13" t="s">
        <v>225</v>
      </c>
      <c r="U16" s="13" t="s">
        <v>225</v>
      </c>
      <c r="V16" s="13" t="s">
        <v>225</v>
      </c>
      <c r="W16" s="13" t="s">
        <v>352</v>
      </c>
      <c r="X16" s="13" t="s">
        <v>353</v>
      </c>
      <c r="Y16" s="13" t="s">
        <v>225</v>
      </c>
      <c r="Z16" s="13" t="s">
        <v>225</v>
      </c>
      <c r="AA16" s="17" t="s">
        <v>225</v>
      </c>
      <c r="AB16" s="13" t="s">
        <v>354</v>
      </c>
      <c r="AC16" s="13" t="s">
        <v>225</v>
      </c>
      <c r="AD16" s="13" t="s">
        <v>215</v>
      </c>
      <c r="AE16" s="13" t="s">
        <v>225</v>
      </c>
      <c r="AF16" t="s">
        <v>355</v>
      </c>
    </row>
    <row r="17" spans="1:32" ht="36" customHeight="1" x14ac:dyDescent="0.25">
      <c r="A17" s="14" t="s">
        <v>356</v>
      </c>
      <c r="B17" s="13" t="s">
        <v>357</v>
      </c>
      <c r="C17" s="13" t="s">
        <v>358</v>
      </c>
      <c r="D17" s="13" t="s">
        <v>359</v>
      </c>
      <c r="E17" s="13" t="s">
        <v>360</v>
      </c>
      <c r="F17" s="13" t="s">
        <v>361</v>
      </c>
      <c r="G17" s="13" t="s">
        <v>362</v>
      </c>
      <c r="H17" s="13" t="s">
        <v>363</v>
      </c>
      <c r="I17" s="13" t="s">
        <v>364</v>
      </c>
      <c r="J17" s="13" t="s">
        <v>365</v>
      </c>
      <c r="K17" s="13" t="s">
        <v>366</v>
      </c>
      <c r="L17" s="13" t="s">
        <v>367</v>
      </c>
      <c r="M17" s="13" t="s">
        <v>368</v>
      </c>
      <c r="N17" s="13" t="s">
        <v>369</v>
      </c>
      <c r="O17" s="13" t="s">
        <v>370</v>
      </c>
      <c r="P17" s="13" t="s">
        <v>371</v>
      </c>
      <c r="Q17" s="13" t="s">
        <v>372</v>
      </c>
      <c r="R17" s="13" t="s">
        <v>373</v>
      </c>
      <c r="S17" s="13" t="s">
        <v>374</v>
      </c>
      <c r="T17" s="13" t="s">
        <v>375</v>
      </c>
      <c r="U17" s="13" t="s">
        <v>376</v>
      </c>
      <c r="V17" s="13" t="s">
        <v>377</v>
      </c>
      <c r="W17" s="13" t="s">
        <v>378</v>
      </c>
      <c r="X17" s="13" t="s">
        <v>379</v>
      </c>
      <c r="Y17" s="13" t="s">
        <v>380</v>
      </c>
      <c r="Z17" s="13" t="s">
        <v>381</v>
      </c>
      <c r="AA17" s="17" t="s">
        <v>382</v>
      </c>
      <c r="AB17" s="13" t="s">
        <v>383</v>
      </c>
      <c r="AC17" s="13" t="s">
        <v>384</v>
      </c>
      <c r="AD17" s="13" t="s">
        <v>385</v>
      </c>
      <c r="AE17" s="13" t="s">
        <v>386</v>
      </c>
      <c r="AF17" t="s">
        <v>387</v>
      </c>
    </row>
    <row r="18" spans="1:32" ht="36" customHeight="1" x14ac:dyDescent="0.25">
      <c r="A18" s="14" t="s">
        <v>388</v>
      </c>
      <c r="B18" s="13" t="s">
        <v>389</v>
      </c>
      <c r="C18" s="13" t="s">
        <v>390</v>
      </c>
      <c r="D18" s="13" t="s">
        <v>391</v>
      </c>
      <c r="E18" s="13" t="s">
        <v>392</v>
      </c>
      <c r="F18" s="13" t="s">
        <v>393</v>
      </c>
      <c r="G18" s="13" t="s">
        <v>394</v>
      </c>
      <c r="H18" s="13" t="s">
        <v>395</v>
      </c>
      <c r="I18" s="13" t="s">
        <v>396</v>
      </c>
      <c r="J18" s="13" t="s">
        <v>397</v>
      </c>
      <c r="K18" s="13" t="s">
        <v>398</v>
      </c>
      <c r="L18" s="13" t="s">
        <v>399</v>
      </c>
      <c r="M18" s="13" t="s">
        <v>400</v>
      </c>
      <c r="N18" s="13" t="s">
        <v>401</v>
      </c>
      <c r="O18" s="13" t="s">
        <v>402</v>
      </c>
      <c r="P18" s="13" t="s">
        <v>403</v>
      </c>
      <c r="Q18" s="13" t="s">
        <v>404</v>
      </c>
      <c r="R18" s="13" t="s">
        <v>405</v>
      </c>
      <c r="S18" s="13"/>
      <c r="T18" s="13" t="s">
        <v>406</v>
      </c>
      <c r="U18" s="13" t="s">
        <v>407</v>
      </c>
      <c r="V18" s="13" t="s">
        <v>408</v>
      </c>
      <c r="W18" s="13" t="s">
        <v>409</v>
      </c>
      <c r="X18" s="13" t="s">
        <v>410</v>
      </c>
      <c r="Y18" s="13" t="s">
        <v>411</v>
      </c>
      <c r="Z18" s="13"/>
      <c r="AA18" s="17" t="s">
        <v>412</v>
      </c>
      <c r="AB18" s="13" t="s">
        <v>413</v>
      </c>
      <c r="AC18" s="13" t="s">
        <v>414</v>
      </c>
      <c r="AD18" s="13" t="s">
        <v>415</v>
      </c>
      <c r="AE18" s="13" t="s">
        <v>416</v>
      </c>
      <c r="AF18" t="s">
        <v>417</v>
      </c>
    </row>
    <row r="19" spans="1:32" ht="23.1" customHeight="1" x14ac:dyDescent="0.25">
      <c r="A19" s="15" t="s">
        <v>418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5"/>
      <c r="AC19" s="15"/>
      <c r="AD19" s="15"/>
      <c r="AE19" s="15"/>
      <c r="AF19" t="s">
        <v>419</v>
      </c>
    </row>
    <row r="20" spans="1:32" ht="36" customHeight="1" x14ac:dyDescent="0.25">
      <c r="A20" s="14" t="s">
        <v>420</v>
      </c>
      <c r="B20" s="13" t="s">
        <v>421</v>
      </c>
      <c r="C20" s="13" t="s">
        <v>422</v>
      </c>
      <c r="D20" s="13" t="s">
        <v>423</v>
      </c>
      <c r="E20" s="13" t="s">
        <v>422</v>
      </c>
      <c r="F20" s="13" t="s">
        <v>424</v>
      </c>
      <c r="G20" s="13" t="s">
        <v>425</v>
      </c>
      <c r="H20" s="13" t="s">
        <v>426</v>
      </c>
      <c r="I20" s="13" t="s">
        <v>427</v>
      </c>
      <c r="J20" s="13" t="s">
        <v>428</v>
      </c>
      <c r="K20" s="13" t="s">
        <v>429</v>
      </c>
      <c r="L20" s="13" t="s">
        <v>430</v>
      </c>
      <c r="M20" s="13" t="s">
        <v>431</v>
      </c>
      <c r="N20" s="13" t="s">
        <v>432</v>
      </c>
      <c r="O20" s="13" t="s">
        <v>433</v>
      </c>
      <c r="P20" s="13" t="s">
        <v>434</v>
      </c>
      <c r="Q20" s="13" t="s">
        <v>435</v>
      </c>
      <c r="R20" s="13" t="s">
        <v>436</v>
      </c>
      <c r="S20" s="13" t="s">
        <v>437</v>
      </c>
      <c r="T20" s="13" t="s">
        <v>438</v>
      </c>
      <c r="U20" s="13" t="s">
        <v>439</v>
      </c>
      <c r="V20" s="13" t="s">
        <v>440</v>
      </c>
      <c r="W20" s="13" t="s">
        <v>441</v>
      </c>
      <c r="X20" s="13" t="s">
        <v>442</v>
      </c>
      <c r="Y20" s="13" t="s">
        <v>443</v>
      </c>
      <c r="Z20" s="13" t="s">
        <v>444</v>
      </c>
      <c r="AA20" s="17" t="s">
        <v>445</v>
      </c>
      <c r="AB20" s="13" t="s">
        <v>446</v>
      </c>
      <c r="AC20" s="13" t="s">
        <v>447</v>
      </c>
      <c r="AD20" s="13" t="s">
        <v>448</v>
      </c>
      <c r="AE20" s="13" t="s">
        <v>449</v>
      </c>
      <c r="AF20" t="s">
        <v>450</v>
      </c>
    </row>
    <row r="21" spans="1:32" ht="36" customHeight="1" x14ac:dyDescent="0.25">
      <c r="A21" s="14" t="s">
        <v>451</v>
      </c>
      <c r="B21" s="13" t="s">
        <v>452</v>
      </c>
      <c r="C21" s="13" t="s">
        <v>453</v>
      </c>
      <c r="D21" s="13" t="s">
        <v>454</v>
      </c>
      <c r="E21" s="13" t="s">
        <v>455</v>
      </c>
      <c r="F21" s="13" t="s">
        <v>456</v>
      </c>
      <c r="G21" s="13" t="s">
        <v>457</v>
      </c>
      <c r="H21" s="13" t="s">
        <v>458</v>
      </c>
      <c r="I21" s="13" t="s">
        <v>459</v>
      </c>
      <c r="J21" s="13" t="s">
        <v>460</v>
      </c>
      <c r="K21" s="13" t="s">
        <v>461</v>
      </c>
      <c r="L21" s="13" t="s">
        <v>462</v>
      </c>
      <c r="M21" s="13" t="s">
        <v>463</v>
      </c>
      <c r="N21" s="13" t="s">
        <v>464</v>
      </c>
      <c r="O21" s="13" t="s">
        <v>465</v>
      </c>
      <c r="P21" s="13" t="s">
        <v>466</v>
      </c>
      <c r="Q21" s="13" t="s">
        <v>467</v>
      </c>
      <c r="R21" s="13" t="s">
        <v>468</v>
      </c>
      <c r="S21" s="13" t="s">
        <v>469</v>
      </c>
      <c r="T21" s="13" t="s">
        <v>470</v>
      </c>
      <c r="U21" s="13" t="s">
        <v>471</v>
      </c>
      <c r="V21" s="13" t="s">
        <v>472</v>
      </c>
      <c r="W21" s="13" t="s">
        <v>473</v>
      </c>
      <c r="X21" s="13" t="s">
        <v>474</v>
      </c>
      <c r="Y21" s="13" t="s">
        <v>475</v>
      </c>
      <c r="Z21" s="13" t="s">
        <v>476</v>
      </c>
      <c r="AA21" s="17" t="s">
        <v>477</v>
      </c>
      <c r="AB21" s="13" t="s">
        <v>478</v>
      </c>
      <c r="AC21" s="13" t="s">
        <v>479</v>
      </c>
      <c r="AD21" s="13" t="s">
        <v>480</v>
      </c>
      <c r="AE21" s="13" t="s">
        <v>481</v>
      </c>
      <c r="AF21" t="s">
        <v>482</v>
      </c>
    </row>
    <row r="22" spans="1:32" ht="36" customHeight="1" x14ac:dyDescent="0.25">
      <c r="A22" s="14" t="s">
        <v>483</v>
      </c>
      <c r="B22" s="13" t="s">
        <v>225</v>
      </c>
      <c r="C22" s="13" t="s">
        <v>484</v>
      </c>
      <c r="D22" s="13" t="s">
        <v>225</v>
      </c>
      <c r="E22" s="13" t="s">
        <v>485</v>
      </c>
      <c r="F22" s="13" t="s">
        <v>225</v>
      </c>
      <c r="G22" s="13" t="s">
        <v>486</v>
      </c>
      <c r="H22" s="13" t="s">
        <v>487</v>
      </c>
      <c r="I22" s="13" t="s">
        <v>488</v>
      </c>
      <c r="J22" s="13" t="s">
        <v>485</v>
      </c>
      <c r="K22" s="13" t="s">
        <v>485</v>
      </c>
      <c r="L22" s="13" t="s">
        <v>485</v>
      </c>
      <c r="M22" s="13" t="s">
        <v>485</v>
      </c>
      <c r="N22" s="13" t="s">
        <v>225</v>
      </c>
      <c r="O22" s="13" t="s">
        <v>485</v>
      </c>
      <c r="P22" s="13" t="s">
        <v>225</v>
      </c>
      <c r="Q22" s="13"/>
      <c r="R22" s="13"/>
      <c r="S22" s="13"/>
      <c r="T22" s="13" t="s">
        <v>225</v>
      </c>
      <c r="U22" s="13" t="s">
        <v>225</v>
      </c>
      <c r="V22" s="13" t="s">
        <v>489</v>
      </c>
      <c r="W22" s="13" t="s">
        <v>266</v>
      </c>
      <c r="X22" s="13" t="s">
        <v>266</v>
      </c>
      <c r="Y22" s="13" t="s">
        <v>490</v>
      </c>
      <c r="Z22" s="13" t="s">
        <v>491</v>
      </c>
      <c r="AA22" s="17" t="s">
        <v>225</v>
      </c>
      <c r="AB22" s="13" t="s">
        <v>485</v>
      </c>
      <c r="AC22" s="13" t="s">
        <v>225</v>
      </c>
      <c r="AD22" s="13" t="s">
        <v>266</v>
      </c>
      <c r="AE22" s="13" t="s">
        <v>225</v>
      </c>
      <c r="AF22" t="s">
        <v>492</v>
      </c>
    </row>
    <row r="23" spans="1:32" ht="36" customHeight="1" x14ac:dyDescent="0.25">
      <c r="A23" s="14" t="s">
        <v>493</v>
      </c>
      <c r="B23" s="13" t="s">
        <v>225</v>
      </c>
      <c r="C23" s="13" t="s">
        <v>215</v>
      </c>
      <c r="D23" s="13" t="s">
        <v>494</v>
      </c>
      <c r="E23" s="13" t="s">
        <v>215</v>
      </c>
      <c r="F23" s="13" t="s">
        <v>225</v>
      </c>
      <c r="G23" s="13" t="s">
        <v>215</v>
      </c>
      <c r="H23" s="13" t="s">
        <v>215</v>
      </c>
      <c r="I23" s="13" t="s">
        <v>215</v>
      </c>
      <c r="J23" s="13" t="s">
        <v>215</v>
      </c>
      <c r="K23" s="13" t="s">
        <v>215</v>
      </c>
      <c r="L23" s="13" t="s">
        <v>215</v>
      </c>
      <c r="M23" s="13" t="s">
        <v>215</v>
      </c>
      <c r="N23" s="13" t="s">
        <v>215</v>
      </c>
      <c r="O23" s="13" t="s">
        <v>495</v>
      </c>
      <c r="P23" s="13" t="s">
        <v>225</v>
      </c>
      <c r="Q23" s="13" t="s">
        <v>215</v>
      </c>
      <c r="R23" s="13" t="s">
        <v>496</v>
      </c>
      <c r="S23" s="13"/>
      <c r="T23" s="13" t="s">
        <v>225</v>
      </c>
      <c r="U23" s="13" t="s">
        <v>215</v>
      </c>
      <c r="V23" s="13" t="s">
        <v>215</v>
      </c>
      <c r="W23" s="13" t="s">
        <v>497</v>
      </c>
      <c r="X23" s="13" t="s">
        <v>498</v>
      </c>
      <c r="Y23" s="13" t="s">
        <v>215</v>
      </c>
      <c r="Z23" s="13" t="s">
        <v>215</v>
      </c>
      <c r="AA23" s="17" t="s">
        <v>225</v>
      </c>
      <c r="AB23" s="13" t="s">
        <v>215</v>
      </c>
      <c r="AC23" s="13" t="s">
        <v>225</v>
      </c>
      <c r="AD23" s="13" t="s">
        <v>215</v>
      </c>
      <c r="AE23" s="13" t="s">
        <v>225</v>
      </c>
      <c r="AF23" t="s">
        <v>215</v>
      </c>
    </row>
    <row r="24" spans="1:32" ht="36" customHeight="1" x14ac:dyDescent="0.25">
      <c r="A24" s="14" t="s">
        <v>499</v>
      </c>
      <c r="B24" s="13" t="s">
        <v>225</v>
      </c>
      <c r="C24" s="13" t="s">
        <v>225</v>
      </c>
      <c r="D24" s="13" t="s">
        <v>225</v>
      </c>
      <c r="E24" s="13" t="s">
        <v>500</v>
      </c>
      <c r="F24" s="13" t="s">
        <v>225</v>
      </c>
      <c r="G24" s="13" t="s">
        <v>501</v>
      </c>
      <c r="H24" s="13" t="s">
        <v>225</v>
      </c>
      <c r="I24" s="13" t="s">
        <v>225</v>
      </c>
      <c r="J24" s="13" t="s">
        <v>225</v>
      </c>
      <c r="K24" s="13" t="s">
        <v>225</v>
      </c>
      <c r="L24" s="13" t="s">
        <v>502</v>
      </c>
      <c r="M24" s="13" t="s">
        <v>503</v>
      </c>
      <c r="N24" s="13" t="s">
        <v>504</v>
      </c>
      <c r="O24" s="13" t="s">
        <v>225</v>
      </c>
      <c r="P24" s="13" t="s">
        <v>225</v>
      </c>
      <c r="Q24" s="13" t="s">
        <v>505</v>
      </c>
      <c r="R24" s="13" t="s">
        <v>506</v>
      </c>
      <c r="S24" s="13" t="s">
        <v>504</v>
      </c>
      <c r="T24" s="13" t="s">
        <v>225</v>
      </c>
      <c r="U24" s="13" t="s">
        <v>225</v>
      </c>
      <c r="V24" s="13" t="s">
        <v>507</v>
      </c>
      <c r="W24" s="13" t="s">
        <v>508</v>
      </c>
      <c r="X24" s="13" t="s">
        <v>509</v>
      </c>
      <c r="Y24" s="13" t="s">
        <v>510</v>
      </c>
      <c r="Z24" s="13" t="s">
        <v>511</v>
      </c>
      <c r="AA24" s="17" t="s">
        <v>225</v>
      </c>
      <c r="AB24" s="13" t="s">
        <v>512</v>
      </c>
      <c r="AC24" s="13" t="s">
        <v>225</v>
      </c>
      <c r="AD24" s="13" t="s">
        <v>513</v>
      </c>
      <c r="AE24" s="13" t="s">
        <v>225</v>
      </c>
      <c r="AF24" t="s">
        <v>514</v>
      </c>
    </row>
    <row r="25" spans="1:32" ht="36" customHeight="1" x14ac:dyDescent="0.25">
      <c r="A25" s="14" t="s">
        <v>515</v>
      </c>
      <c r="B25" s="13" t="s">
        <v>516</v>
      </c>
      <c r="C25" s="13" t="s">
        <v>517</v>
      </c>
      <c r="D25" s="13" t="s">
        <v>518</v>
      </c>
      <c r="E25" s="13" t="s">
        <v>519</v>
      </c>
      <c r="F25" s="13" t="s">
        <v>520</v>
      </c>
      <c r="G25" s="13" t="s">
        <v>521</v>
      </c>
      <c r="H25" s="13" t="s">
        <v>522</v>
      </c>
      <c r="I25" s="13" t="s">
        <v>523</v>
      </c>
      <c r="J25" s="13" t="s">
        <v>524</v>
      </c>
      <c r="K25" s="13" t="s">
        <v>525</v>
      </c>
      <c r="L25" s="13" t="s">
        <v>526</v>
      </c>
      <c r="M25" s="13" t="s">
        <v>527</v>
      </c>
      <c r="N25" s="13" t="s">
        <v>528</v>
      </c>
      <c r="O25" s="13" t="s">
        <v>529</v>
      </c>
      <c r="P25" s="13" t="s">
        <v>530</v>
      </c>
      <c r="Q25" s="13" t="s">
        <v>531</v>
      </c>
      <c r="R25" s="13" t="s">
        <v>532</v>
      </c>
      <c r="S25" s="13" t="s">
        <v>533</v>
      </c>
      <c r="T25" s="13" t="s">
        <v>534</v>
      </c>
      <c r="U25" s="13"/>
      <c r="V25" s="13" t="s">
        <v>535</v>
      </c>
      <c r="W25" s="13" t="s">
        <v>536</v>
      </c>
      <c r="X25" s="13" t="s">
        <v>537</v>
      </c>
      <c r="Y25" s="13" t="s">
        <v>538</v>
      </c>
      <c r="Z25" s="13" t="s">
        <v>539</v>
      </c>
      <c r="AA25" s="17" t="s">
        <v>534</v>
      </c>
      <c r="AB25" s="13" t="s">
        <v>540</v>
      </c>
      <c r="AC25" s="13" t="s">
        <v>534</v>
      </c>
      <c r="AD25" s="13" t="s">
        <v>541</v>
      </c>
      <c r="AE25" s="13" t="s">
        <v>542</v>
      </c>
      <c r="AF25" t="s">
        <v>543</v>
      </c>
    </row>
    <row r="26" spans="1:32" ht="36" customHeight="1" x14ac:dyDescent="0.25">
      <c r="A26" s="14" t="s">
        <v>544</v>
      </c>
      <c r="B26" s="13" t="s">
        <v>545</v>
      </c>
      <c r="C26" s="13" t="s">
        <v>546</v>
      </c>
      <c r="D26" s="13" t="s">
        <v>547</v>
      </c>
      <c r="E26" s="13" t="s">
        <v>548</v>
      </c>
      <c r="F26" s="13" t="s">
        <v>549</v>
      </c>
      <c r="G26" s="13" t="s">
        <v>550</v>
      </c>
      <c r="H26" s="13" t="s">
        <v>551</v>
      </c>
      <c r="I26" s="13" t="s">
        <v>552</v>
      </c>
      <c r="J26" s="13" t="s">
        <v>553</v>
      </c>
      <c r="K26" s="13" t="s">
        <v>554</v>
      </c>
      <c r="L26" s="13" t="s">
        <v>555</v>
      </c>
      <c r="M26" s="13" t="s">
        <v>556</v>
      </c>
      <c r="N26" s="13" t="s">
        <v>557</v>
      </c>
      <c r="O26" s="13" t="s">
        <v>558</v>
      </c>
      <c r="P26" s="13" t="s">
        <v>559</v>
      </c>
      <c r="Q26" s="13"/>
      <c r="R26" s="13" t="s">
        <v>560</v>
      </c>
      <c r="S26" s="13" t="s">
        <v>561</v>
      </c>
      <c r="T26" s="13" t="s">
        <v>557</v>
      </c>
      <c r="U26" s="13"/>
      <c r="V26" s="13" t="s">
        <v>562</v>
      </c>
      <c r="W26" s="13" t="s">
        <v>563</v>
      </c>
      <c r="X26" s="13" t="s">
        <v>562</v>
      </c>
      <c r="Y26" s="13" t="s">
        <v>562</v>
      </c>
      <c r="Z26" s="13" t="s">
        <v>564</v>
      </c>
      <c r="AA26" s="17" t="s">
        <v>557</v>
      </c>
      <c r="AB26" s="13" t="s">
        <v>565</v>
      </c>
      <c r="AC26" s="13" t="s">
        <v>566</v>
      </c>
      <c r="AD26" s="13" t="s">
        <v>567</v>
      </c>
      <c r="AE26" s="13" t="s">
        <v>568</v>
      </c>
      <c r="AF26" t="s">
        <v>569</v>
      </c>
    </row>
    <row r="27" spans="1:32" ht="36" customHeight="1" x14ac:dyDescent="0.25">
      <c r="A27" s="14" t="s">
        <v>570</v>
      </c>
      <c r="B27" s="13" t="s">
        <v>571</v>
      </c>
      <c r="C27" s="13" t="s">
        <v>572</v>
      </c>
      <c r="D27" s="13" t="s">
        <v>573</v>
      </c>
      <c r="E27" s="13" t="s">
        <v>574</v>
      </c>
      <c r="F27" s="13" t="s">
        <v>575</v>
      </c>
      <c r="G27" s="13" t="s">
        <v>576</v>
      </c>
      <c r="H27" s="13" t="s">
        <v>577</v>
      </c>
      <c r="I27" s="13" t="s">
        <v>578</v>
      </c>
      <c r="J27" s="13" t="s">
        <v>579</v>
      </c>
      <c r="K27" s="13" t="s">
        <v>580</v>
      </c>
      <c r="L27" s="13" t="s">
        <v>581</v>
      </c>
      <c r="M27" s="13" t="s">
        <v>582</v>
      </c>
      <c r="N27" s="13" t="s">
        <v>583</v>
      </c>
      <c r="O27" s="13" t="s">
        <v>584</v>
      </c>
      <c r="P27" s="13" t="s">
        <v>585</v>
      </c>
      <c r="Q27" s="13" t="s">
        <v>586</v>
      </c>
      <c r="R27" s="13" t="s">
        <v>587</v>
      </c>
      <c r="S27" s="13" t="s">
        <v>588</v>
      </c>
      <c r="T27" s="13" t="s">
        <v>589</v>
      </c>
      <c r="U27" s="13" t="s">
        <v>590</v>
      </c>
      <c r="V27" s="13" t="s">
        <v>591</v>
      </c>
      <c r="W27" s="13" t="s">
        <v>592</v>
      </c>
      <c r="X27" s="13" t="s">
        <v>593</v>
      </c>
      <c r="Y27" s="13" t="s">
        <v>594</v>
      </c>
      <c r="Z27" s="13" t="s">
        <v>595</v>
      </c>
      <c r="AA27" s="17" t="s">
        <v>596</v>
      </c>
      <c r="AB27" s="13" t="s">
        <v>597</v>
      </c>
      <c r="AC27" s="13" t="s">
        <v>598</v>
      </c>
      <c r="AD27" s="13" t="s">
        <v>599</v>
      </c>
      <c r="AE27" s="13" t="s">
        <v>600</v>
      </c>
      <c r="AF27" t="s">
        <v>601</v>
      </c>
    </row>
    <row r="28" spans="1:32" ht="23.1" customHeight="1" x14ac:dyDescent="0.25">
      <c r="A28" s="15" t="s">
        <v>602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</row>
    <row r="29" spans="1:32" ht="36" customHeight="1" x14ac:dyDescent="0.25">
      <c r="A29" s="14" t="s">
        <v>603</v>
      </c>
      <c r="B29" s="13" t="s">
        <v>215</v>
      </c>
      <c r="C29" s="13" t="s">
        <v>215</v>
      </c>
      <c r="D29" s="13" t="s">
        <v>215</v>
      </c>
      <c r="E29" s="13" t="s">
        <v>215</v>
      </c>
      <c r="F29" s="13" t="s">
        <v>215</v>
      </c>
      <c r="G29" s="13" t="s">
        <v>215</v>
      </c>
      <c r="H29" s="13" t="s">
        <v>215</v>
      </c>
      <c r="I29" s="13" t="s">
        <v>215</v>
      </c>
      <c r="J29" s="13" t="s">
        <v>215</v>
      </c>
      <c r="K29" s="13" t="s">
        <v>215</v>
      </c>
      <c r="L29" s="13" t="s">
        <v>215</v>
      </c>
      <c r="M29" s="13" t="s">
        <v>215</v>
      </c>
      <c r="N29" s="13" t="s">
        <v>215</v>
      </c>
      <c r="O29" s="13" t="s">
        <v>215</v>
      </c>
      <c r="P29" s="13"/>
      <c r="Q29" s="13" t="s">
        <v>215</v>
      </c>
      <c r="R29" s="13"/>
      <c r="S29" s="13" t="s">
        <v>215</v>
      </c>
      <c r="T29" s="13" t="s">
        <v>215</v>
      </c>
      <c r="U29" s="13"/>
      <c r="V29" s="13" t="s">
        <v>215</v>
      </c>
      <c r="W29" s="13" t="s">
        <v>215</v>
      </c>
      <c r="X29" s="13" t="s">
        <v>215</v>
      </c>
      <c r="Y29" s="13" t="s">
        <v>215</v>
      </c>
      <c r="Z29" s="13" t="s">
        <v>215</v>
      </c>
      <c r="AA29" s="17" t="s">
        <v>215</v>
      </c>
      <c r="AB29" s="13" t="s">
        <v>215</v>
      </c>
      <c r="AC29" s="13"/>
      <c r="AD29" s="13" t="s">
        <v>215</v>
      </c>
      <c r="AE29" s="13" t="s">
        <v>215</v>
      </c>
      <c r="AF29" t="s">
        <v>604</v>
      </c>
    </row>
    <row r="30" spans="1:32" ht="36" customHeight="1" x14ac:dyDescent="0.25">
      <c r="A30" s="14" t="s">
        <v>605</v>
      </c>
      <c r="B30" s="13" t="s">
        <v>606</v>
      </c>
      <c r="C30" s="13" t="s">
        <v>607</v>
      </c>
      <c r="D30" s="13" t="s">
        <v>608</v>
      </c>
      <c r="E30" s="13" t="s">
        <v>609</v>
      </c>
      <c r="F30" s="13" t="s">
        <v>609</v>
      </c>
      <c r="G30" s="13" t="s">
        <v>607</v>
      </c>
      <c r="H30" s="13" t="s">
        <v>607</v>
      </c>
      <c r="I30" s="13" t="s">
        <v>607</v>
      </c>
      <c r="J30" s="13" t="s">
        <v>610</v>
      </c>
      <c r="K30" s="13" t="s">
        <v>611</v>
      </c>
      <c r="L30" s="13" t="s">
        <v>606</v>
      </c>
      <c r="M30" s="13" t="s">
        <v>608</v>
      </c>
      <c r="N30" s="13" t="s">
        <v>606</v>
      </c>
      <c r="O30" s="13" t="s">
        <v>607</v>
      </c>
      <c r="P30" s="13" t="s">
        <v>607</v>
      </c>
      <c r="Q30" s="13" t="s">
        <v>607</v>
      </c>
      <c r="R30" s="13" t="s">
        <v>607</v>
      </c>
      <c r="S30" s="13" t="s">
        <v>607</v>
      </c>
      <c r="T30" s="13" t="s">
        <v>607</v>
      </c>
      <c r="U30" s="13" t="s">
        <v>609</v>
      </c>
      <c r="V30" s="13" t="s">
        <v>607</v>
      </c>
      <c r="W30" s="13" t="s">
        <v>607</v>
      </c>
      <c r="X30" s="13" t="s">
        <v>607</v>
      </c>
      <c r="Y30" s="13" t="s">
        <v>607</v>
      </c>
      <c r="Z30" s="13" t="s">
        <v>607</v>
      </c>
      <c r="AA30" s="17" t="s">
        <v>608</v>
      </c>
      <c r="AB30" s="13" t="s">
        <v>607</v>
      </c>
      <c r="AC30" s="13" t="s">
        <v>607</v>
      </c>
      <c r="AD30" s="13" t="s">
        <v>609</v>
      </c>
      <c r="AE30" s="13" t="s">
        <v>611</v>
      </c>
      <c r="AF30" t="s">
        <v>607</v>
      </c>
    </row>
    <row r="31" spans="1:32" ht="36" customHeight="1" x14ac:dyDescent="0.25">
      <c r="A31" s="14" t="s">
        <v>612</v>
      </c>
      <c r="B31" s="13" t="s">
        <v>613</v>
      </c>
      <c r="C31" s="13" t="s">
        <v>614</v>
      </c>
      <c r="D31" s="13" t="s">
        <v>615</v>
      </c>
      <c r="E31" s="13" t="s">
        <v>616</v>
      </c>
      <c r="F31" s="13" t="s">
        <v>617</v>
      </c>
      <c r="G31" s="13" t="s">
        <v>614</v>
      </c>
      <c r="H31" s="13" t="s">
        <v>614</v>
      </c>
      <c r="I31" s="13" t="s">
        <v>614</v>
      </c>
      <c r="J31" s="13" t="s">
        <v>618</v>
      </c>
      <c r="K31" s="13" t="s">
        <v>619</v>
      </c>
      <c r="L31" s="13" t="s">
        <v>620</v>
      </c>
      <c r="M31" s="13" t="s">
        <v>621</v>
      </c>
      <c r="N31" s="13" t="s">
        <v>622</v>
      </c>
      <c r="O31" s="13" t="s">
        <v>614</v>
      </c>
      <c r="P31" s="13" t="s">
        <v>614</v>
      </c>
      <c r="Q31" s="13" t="s">
        <v>614</v>
      </c>
      <c r="R31" s="13" t="s">
        <v>614</v>
      </c>
      <c r="S31" s="13" t="s">
        <v>614</v>
      </c>
      <c r="T31" s="13" t="s">
        <v>614</v>
      </c>
      <c r="U31" s="13" t="s">
        <v>623</v>
      </c>
      <c r="V31" s="13" t="s">
        <v>614</v>
      </c>
      <c r="W31" s="13" t="s">
        <v>614</v>
      </c>
      <c r="X31" s="13" t="s">
        <v>614</v>
      </c>
      <c r="Y31" s="13" t="s">
        <v>614</v>
      </c>
      <c r="Z31" s="13" t="s">
        <v>614</v>
      </c>
      <c r="AA31" s="17" t="s">
        <v>624</v>
      </c>
      <c r="AB31" s="13" t="s">
        <v>614</v>
      </c>
      <c r="AC31" s="13" t="s">
        <v>614</v>
      </c>
      <c r="AD31" s="13" t="s">
        <v>625</v>
      </c>
      <c r="AE31" s="13" t="s">
        <v>626</v>
      </c>
      <c r="AF31" t="s">
        <v>276</v>
      </c>
    </row>
    <row r="32" spans="1:32" ht="36" customHeight="1" x14ac:dyDescent="0.25">
      <c r="A32" s="14" t="s">
        <v>627</v>
      </c>
      <c r="B32" s="13" t="s">
        <v>225</v>
      </c>
      <c r="C32" s="13" t="s">
        <v>215</v>
      </c>
      <c r="D32" s="13" t="s">
        <v>494</v>
      </c>
      <c r="E32" s="13" t="s">
        <v>215</v>
      </c>
      <c r="F32" s="13" t="s">
        <v>225</v>
      </c>
      <c r="G32" s="13" t="s">
        <v>215</v>
      </c>
      <c r="H32" s="13" t="s">
        <v>215</v>
      </c>
      <c r="I32" s="13" t="s">
        <v>215</v>
      </c>
      <c r="J32" s="13" t="s">
        <v>215</v>
      </c>
      <c r="K32" s="13" t="s">
        <v>215</v>
      </c>
      <c r="L32" s="13" t="s">
        <v>215</v>
      </c>
      <c r="M32" s="13" t="s">
        <v>215</v>
      </c>
      <c r="N32" s="13" t="s">
        <v>215</v>
      </c>
      <c r="O32" s="13" t="s">
        <v>495</v>
      </c>
      <c r="P32" s="13" t="s">
        <v>225</v>
      </c>
      <c r="Q32" s="13" t="s">
        <v>215</v>
      </c>
      <c r="R32" s="13" t="s">
        <v>496</v>
      </c>
      <c r="S32" s="13"/>
      <c r="T32" s="13" t="s">
        <v>225</v>
      </c>
      <c r="U32" s="13" t="s">
        <v>215</v>
      </c>
      <c r="V32" s="13" t="s">
        <v>215</v>
      </c>
      <c r="W32" s="13" t="s">
        <v>497</v>
      </c>
      <c r="X32" s="13" t="s">
        <v>498</v>
      </c>
      <c r="Y32" s="13" t="s">
        <v>215</v>
      </c>
      <c r="Z32" s="13" t="s">
        <v>215</v>
      </c>
      <c r="AA32" s="17" t="s">
        <v>225</v>
      </c>
      <c r="AB32" s="13" t="s">
        <v>215</v>
      </c>
      <c r="AC32" s="13" t="s">
        <v>225</v>
      </c>
      <c r="AD32" s="13" t="s">
        <v>215</v>
      </c>
      <c r="AE32" s="13" t="s">
        <v>225</v>
      </c>
      <c r="AF32" t="s">
        <v>215</v>
      </c>
    </row>
    <row r="33" spans="1:32" ht="36" customHeight="1" x14ac:dyDescent="0.25">
      <c r="A33" s="14" t="s">
        <v>628</v>
      </c>
      <c r="B33" s="13" t="s">
        <v>225</v>
      </c>
      <c r="C33" s="13" t="s">
        <v>225</v>
      </c>
      <c r="D33" s="13" t="s">
        <v>225</v>
      </c>
      <c r="E33" s="13" t="s">
        <v>500</v>
      </c>
      <c r="F33" s="13" t="s">
        <v>225</v>
      </c>
      <c r="G33" s="13" t="s">
        <v>501</v>
      </c>
      <c r="H33" s="13" t="s">
        <v>225</v>
      </c>
      <c r="I33" s="13" t="s">
        <v>225</v>
      </c>
      <c r="J33" s="13" t="s">
        <v>225</v>
      </c>
      <c r="K33" s="13" t="s">
        <v>225</v>
      </c>
      <c r="L33" s="13" t="s">
        <v>502</v>
      </c>
      <c r="M33" s="13" t="s">
        <v>503</v>
      </c>
      <c r="N33" s="13" t="s">
        <v>504</v>
      </c>
      <c r="O33" s="13" t="s">
        <v>225</v>
      </c>
      <c r="P33" s="13" t="s">
        <v>225</v>
      </c>
      <c r="Q33" s="13" t="s">
        <v>505</v>
      </c>
      <c r="R33" s="13" t="s">
        <v>506</v>
      </c>
      <c r="S33" s="13" t="s">
        <v>504</v>
      </c>
      <c r="T33" s="13" t="s">
        <v>225</v>
      </c>
      <c r="U33" s="13" t="s">
        <v>225</v>
      </c>
      <c r="V33" s="13" t="s">
        <v>507</v>
      </c>
      <c r="W33" s="13" t="s">
        <v>508</v>
      </c>
      <c r="X33" s="13" t="s">
        <v>509</v>
      </c>
      <c r="Y33" s="13" t="s">
        <v>510</v>
      </c>
      <c r="Z33" s="13" t="s">
        <v>511</v>
      </c>
      <c r="AA33" s="17" t="s">
        <v>225</v>
      </c>
      <c r="AB33" s="13" t="s">
        <v>512</v>
      </c>
      <c r="AC33" s="13" t="s">
        <v>225</v>
      </c>
      <c r="AD33" s="13" t="s">
        <v>513</v>
      </c>
      <c r="AE33" s="13" t="s">
        <v>225</v>
      </c>
      <c r="AF33" t="s">
        <v>215</v>
      </c>
    </row>
    <row r="34" spans="1:32" ht="36" customHeight="1" x14ac:dyDescent="0.25">
      <c r="A34" s="14" t="s">
        <v>629</v>
      </c>
      <c r="B34" s="13" t="s">
        <v>630</v>
      </c>
      <c r="C34" s="13" t="s">
        <v>631</v>
      </c>
      <c r="D34" s="13" t="s">
        <v>215</v>
      </c>
      <c r="E34" s="13" t="s">
        <v>225</v>
      </c>
      <c r="F34" s="13" t="s">
        <v>632</v>
      </c>
      <c r="G34" s="13" t="s">
        <v>633</v>
      </c>
      <c r="H34" s="13" t="s">
        <v>634</v>
      </c>
      <c r="I34" s="13" t="s">
        <v>228</v>
      </c>
      <c r="J34" s="13"/>
      <c r="K34" s="13" t="s">
        <v>225</v>
      </c>
      <c r="L34" s="13" t="s">
        <v>225</v>
      </c>
      <c r="M34" s="13" t="s">
        <v>635</v>
      </c>
      <c r="N34" s="13" t="s">
        <v>225</v>
      </c>
      <c r="O34" s="13" t="s">
        <v>631</v>
      </c>
      <c r="P34" s="13" t="s">
        <v>225</v>
      </c>
      <c r="Q34" s="13" t="s">
        <v>207</v>
      </c>
      <c r="R34" s="13" t="s">
        <v>636</v>
      </c>
      <c r="S34" s="13" t="s">
        <v>209</v>
      </c>
      <c r="T34" s="13"/>
      <c r="U34" s="13"/>
      <c r="V34" s="13" t="s">
        <v>225</v>
      </c>
      <c r="W34" s="13" t="s">
        <v>631</v>
      </c>
      <c r="X34" s="13" t="s">
        <v>215</v>
      </c>
      <c r="Y34" s="13" t="s">
        <v>215</v>
      </c>
      <c r="Z34" s="13" t="s">
        <v>637</v>
      </c>
      <c r="AA34" s="17" t="s">
        <v>638</v>
      </c>
      <c r="AB34" s="13" t="s">
        <v>218</v>
      </c>
      <c r="AC34" s="13" t="s">
        <v>194</v>
      </c>
      <c r="AD34" s="13" t="s">
        <v>219</v>
      </c>
      <c r="AE34" s="13" t="s">
        <v>225</v>
      </c>
      <c r="AF34" t="s">
        <v>639</v>
      </c>
    </row>
    <row r="35" spans="1:32" ht="36" customHeight="1" x14ac:dyDescent="0.25">
      <c r="A35" s="14" t="s">
        <v>640</v>
      </c>
      <c r="B35" s="13" t="s">
        <v>641</v>
      </c>
      <c r="C35" s="13" t="s">
        <v>642</v>
      </c>
      <c r="D35" s="13"/>
      <c r="E35" s="13" t="s">
        <v>643</v>
      </c>
      <c r="F35" s="13" t="s">
        <v>643</v>
      </c>
      <c r="G35" s="13"/>
      <c r="H35" s="13"/>
      <c r="I35" s="13"/>
      <c r="J35" s="13"/>
      <c r="K35" s="13" t="s">
        <v>644</v>
      </c>
      <c r="L35" s="13"/>
      <c r="M35" s="13" t="s">
        <v>645</v>
      </c>
      <c r="N35" s="13" t="s">
        <v>646</v>
      </c>
      <c r="O35" s="13"/>
      <c r="P35" s="13"/>
      <c r="Q35" s="13"/>
      <c r="R35" s="13"/>
      <c r="S35" s="13" t="s">
        <v>647</v>
      </c>
      <c r="T35" s="13"/>
      <c r="U35" s="13" t="s">
        <v>253</v>
      </c>
      <c r="V35" s="13"/>
      <c r="W35" s="13"/>
      <c r="X35" s="13"/>
      <c r="Y35" s="13" t="s">
        <v>255</v>
      </c>
      <c r="Z35" s="13"/>
      <c r="AA35" s="17" t="s">
        <v>648</v>
      </c>
      <c r="AB35" s="13"/>
      <c r="AC35" s="13"/>
      <c r="AD35" s="13"/>
      <c r="AE35" s="13"/>
      <c r="AF35" t="s">
        <v>649</v>
      </c>
    </row>
    <row r="36" spans="1:32" ht="36" customHeight="1" x14ac:dyDescent="0.25">
      <c r="A36" s="14" t="s">
        <v>650</v>
      </c>
      <c r="B36" s="13" t="s">
        <v>651</v>
      </c>
      <c r="C36" s="13"/>
      <c r="D36" s="13"/>
      <c r="E36" s="13" t="s">
        <v>651</v>
      </c>
      <c r="F36" s="13" t="s">
        <v>652</v>
      </c>
      <c r="G36" s="13" t="s">
        <v>653</v>
      </c>
      <c r="H36" s="13" t="s">
        <v>654</v>
      </c>
      <c r="I36" s="13" t="s">
        <v>655</v>
      </c>
      <c r="J36" s="13"/>
      <c r="K36" s="13" t="s">
        <v>656</v>
      </c>
      <c r="L36" s="13" t="s">
        <v>657</v>
      </c>
      <c r="M36" s="13" t="s">
        <v>656</v>
      </c>
      <c r="N36" s="13" t="s">
        <v>658</v>
      </c>
      <c r="O36" s="13"/>
      <c r="P36" s="13"/>
      <c r="Q36" s="13"/>
      <c r="R36" s="13"/>
      <c r="S36" s="13"/>
      <c r="T36" s="13"/>
      <c r="U36" s="13" t="s">
        <v>659</v>
      </c>
      <c r="V36" s="13" t="s">
        <v>655</v>
      </c>
      <c r="W36" s="13" t="s">
        <v>655</v>
      </c>
      <c r="X36" s="13"/>
      <c r="Y36" s="13"/>
      <c r="Z36" s="13" t="s">
        <v>660</v>
      </c>
      <c r="AA36" s="17" t="s">
        <v>661</v>
      </c>
      <c r="AB36" s="13" t="s">
        <v>662</v>
      </c>
      <c r="AC36" s="13"/>
      <c r="AD36" s="13"/>
      <c r="AE36" s="13"/>
      <c r="AF36" t="s">
        <v>663</v>
      </c>
    </row>
    <row r="37" spans="1:32" ht="36" customHeight="1" x14ac:dyDescent="0.25">
      <c r="A37" s="14" t="s">
        <v>664</v>
      </c>
      <c r="B37" s="13" t="s">
        <v>665</v>
      </c>
      <c r="C37" s="13"/>
      <c r="D37" s="13"/>
      <c r="E37" s="13" t="s">
        <v>666</v>
      </c>
      <c r="F37" s="13" t="s">
        <v>667</v>
      </c>
      <c r="G37" s="13"/>
      <c r="H37" s="13"/>
      <c r="I37" s="13"/>
      <c r="J37" s="13" t="s">
        <v>668</v>
      </c>
      <c r="K37" s="13"/>
      <c r="L37" s="13"/>
      <c r="M37" s="13"/>
      <c r="N37" s="13" t="s">
        <v>669</v>
      </c>
      <c r="O37" s="13"/>
      <c r="P37" s="13"/>
      <c r="Q37" s="13"/>
      <c r="R37" s="13"/>
      <c r="S37" s="13" t="s">
        <v>670</v>
      </c>
      <c r="T37" s="13"/>
      <c r="U37" s="13"/>
      <c r="V37" s="13"/>
      <c r="W37" s="13"/>
      <c r="X37" s="13"/>
      <c r="Y37" s="13"/>
      <c r="Z37" s="13"/>
      <c r="AA37" s="17" t="s">
        <v>671</v>
      </c>
      <c r="AB37" s="13" t="s">
        <v>670</v>
      </c>
      <c r="AC37" s="13"/>
      <c r="AD37" s="13"/>
      <c r="AE37" s="13" t="s">
        <v>672</v>
      </c>
      <c r="AF37" t="s">
        <v>673</v>
      </c>
    </row>
    <row r="38" spans="1:32" ht="36" customHeight="1" x14ac:dyDescent="0.25">
      <c r="A38" s="14" t="s">
        <v>674</v>
      </c>
      <c r="B38" s="13"/>
      <c r="C38" s="13"/>
      <c r="D38" s="13"/>
      <c r="E38" s="13" t="s">
        <v>666</v>
      </c>
      <c r="F38" s="13" t="s">
        <v>667</v>
      </c>
      <c r="G38" s="13"/>
      <c r="H38" s="13"/>
      <c r="I38" s="13"/>
      <c r="J38" s="13"/>
      <c r="K38" s="13"/>
      <c r="L38" s="13"/>
      <c r="M38" s="13"/>
      <c r="N38" s="13" t="s">
        <v>675</v>
      </c>
      <c r="O38" s="13"/>
      <c r="P38" s="13"/>
      <c r="Q38" s="13"/>
      <c r="R38" s="13"/>
      <c r="S38" s="13" t="s">
        <v>676</v>
      </c>
      <c r="T38" s="13"/>
      <c r="U38" s="13"/>
      <c r="V38" s="13"/>
      <c r="W38" s="13"/>
      <c r="X38" s="13"/>
      <c r="Y38" s="13"/>
      <c r="Z38" s="13"/>
      <c r="AA38" s="17" t="s">
        <v>677</v>
      </c>
      <c r="AB38" s="13"/>
      <c r="AC38" s="13"/>
      <c r="AD38" s="13"/>
      <c r="AE38" s="13" t="s">
        <v>672</v>
      </c>
      <c r="AF38" t="s">
        <v>673</v>
      </c>
    </row>
    <row r="39" spans="1:32" ht="36" customHeight="1" x14ac:dyDescent="0.25">
      <c r="A39" s="14" t="s">
        <v>678</v>
      </c>
      <c r="B39" s="13" t="s">
        <v>665</v>
      </c>
      <c r="C39" s="13"/>
      <c r="D39" s="13"/>
      <c r="E39" s="13" t="s">
        <v>666</v>
      </c>
      <c r="F39" s="13" t="s">
        <v>228</v>
      </c>
      <c r="G39" s="13"/>
      <c r="H39" s="13"/>
      <c r="I39" s="13"/>
      <c r="J39" s="13"/>
      <c r="K39" s="13"/>
      <c r="L39" s="13"/>
      <c r="M39" s="13"/>
      <c r="N39" s="13" t="s">
        <v>675</v>
      </c>
      <c r="O39" s="13"/>
      <c r="P39" s="13"/>
      <c r="Q39" s="13"/>
      <c r="R39" s="13"/>
      <c r="S39" s="13" t="s">
        <v>676</v>
      </c>
      <c r="T39" s="13"/>
      <c r="U39" s="13"/>
      <c r="V39" s="13"/>
      <c r="W39" s="13"/>
      <c r="X39" s="13"/>
      <c r="Y39" s="13"/>
      <c r="Z39" s="13"/>
      <c r="AA39" s="17" t="s">
        <v>228</v>
      </c>
      <c r="AB39" s="13"/>
      <c r="AC39" s="13"/>
      <c r="AD39" s="13"/>
      <c r="AE39" s="13" t="s">
        <v>672</v>
      </c>
      <c r="AF39" t="s">
        <v>673</v>
      </c>
    </row>
    <row r="40" spans="1:32" ht="36" customHeight="1" x14ac:dyDescent="0.25">
      <c r="A40" s="14" t="s">
        <v>679</v>
      </c>
      <c r="B40" s="13" t="s">
        <v>680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 t="s">
        <v>681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7" t="s">
        <v>682</v>
      </c>
      <c r="AB40" s="13"/>
      <c r="AC40" s="13"/>
      <c r="AD40" s="13"/>
      <c r="AE40" s="13"/>
      <c r="AF40" t="s">
        <v>683</v>
      </c>
    </row>
    <row r="41" spans="1:32" ht="36" customHeight="1" x14ac:dyDescent="0.25">
      <c r="A41" s="14" t="s">
        <v>684</v>
      </c>
      <c r="B41" s="13" t="s">
        <v>685</v>
      </c>
      <c r="C41" s="13" t="s">
        <v>309</v>
      </c>
      <c r="D41" s="13" t="s">
        <v>686</v>
      </c>
      <c r="E41" s="13" t="s">
        <v>687</v>
      </c>
      <c r="F41" s="13" t="s">
        <v>687</v>
      </c>
      <c r="G41" s="13"/>
      <c r="H41" s="13" t="s">
        <v>688</v>
      </c>
      <c r="I41" s="13" t="s">
        <v>689</v>
      </c>
      <c r="J41" s="13" t="s">
        <v>690</v>
      </c>
      <c r="K41" s="13" t="s">
        <v>691</v>
      </c>
      <c r="L41" s="13" t="s">
        <v>692</v>
      </c>
      <c r="M41" s="13" t="s">
        <v>693</v>
      </c>
      <c r="N41" s="13" t="s">
        <v>694</v>
      </c>
      <c r="O41" s="13" t="s">
        <v>695</v>
      </c>
      <c r="P41" s="13" t="s">
        <v>322</v>
      </c>
      <c r="Q41" s="13" t="s">
        <v>323</v>
      </c>
      <c r="R41" s="13" t="s">
        <v>696</v>
      </c>
      <c r="S41" s="13" t="s">
        <v>697</v>
      </c>
      <c r="T41" s="13" t="s">
        <v>698</v>
      </c>
      <c r="U41" s="13" t="s">
        <v>699</v>
      </c>
      <c r="V41" s="13" t="s">
        <v>700</v>
      </c>
      <c r="W41" s="13" t="s">
        <v>701</v>
      </c>
      <c r="X41" s="13" t="s">
        <v>702</v>
      </c>
      <c r="Y41" s="13" t="s">
        <v>703</v>
      </c>
      <c r="Z41" s="13" t="s">
        <v>704</v>
      </c>
      <c r="AA41" s="17" t="s">
        <v>705</v>
      </c>
      <c r="AB41" s="13" t="s">
        <v>706</v>
      </c>
      <c r="AC41" s="13" t="s">
        <v>707</v>
      </c>
      <c r="AD41" s="13" t="s">
        <v>708</v>
      </c>
      <c r="AE41" s="13" t="s">
        <v>709</v>
      </c>
      <c r="AF41" t="s">
        <v>710</v>
      </c>
    </row>
    <row r="42" spans="1:32" ht="23.1" customHeight="1" x14ac:dyDescent="0.25">
      <c r="A42" s="15" t="s">
        <v>711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</row>
    <row r="43" spans="1:32" ht="36" customHeight="1" x14ac:dyDescent="0.25">
      <c r="A43" s="14" t="s">
        <v>712</v>
      </c>
      <c r="B43" s="13" t="s">
        <v>713</v>
      </c>
      <c r="C43" s="13" t="s">
        <v>714</v>
      </c>
      <c r="D43" s="13" t="s">
        <v>715</v>
      </c>
      <c r="E43" s="13" t="s">
        <v>716</v>
      </c>
      <c r="F43" s="13"/>
      <c r="G43" s="13" t="s">
        <v>717</v>
      </c>
      <c r="H43" s="13" t="s">
        <v>718</v>
      </c>
      <c r="I43" s="13" t="s">
        <v>719</v>
      </c>
      <c r="J43" s="13" t="s">
        <v>720</v>
      </c>
      <c r="K43" s="13" t="s">
        <v>721</v>
      </c>
      <c r="L43" s="13" t="s">
        <v>722</v>
      </c>
      <c r="M43" s="13" t="s">
        <v>723</v>
      </c>
      <c r="N43" s="13" t="s">
        <v>724</v>
      </c>
      <c r="O43" s="13" t="s">
        <v>725</v>
      </c>
      <c r="P43" s="13" t="s">
        <v>714</v>
      </c>
      <c r="Q43" s="13" t="s">
        <v>726</v>
      </c>
      <c r="R43" s="13" t="s">
        <v>714</v>
      </c>
      <c r="S43" s="13" t="s">
        <v>727</v>
      </c>
      <c r="T43" s="13" t="s">
        <v>728</v>
      </c>
      <c r="U43" s="13" t="s">
        <v>729</v>
      </c>
      <c r="V43" s="13" t="s">
        <v>718</v>
      </c>
      <c r="W43" s="13" t="s">
        <v>730</v>
      </c>
      <c r="X43" s="13" t="s">
        <v>731</v>
      </c>
      <c r="Y43" s="13" t="s">
        <v>732</v>
      </c>
      <c r="Z43" s="13" t="s">
        <v>733</v>
      </c>
      <c r="AA43" s="17" t="s">
        <v>734</v>
      </c>
      <c r="AB43" s="13" t="s">
        <v>735</v>
      </c>
      <c r="AC43" s="13" t="s">
        <v>714</v>
      </c>
      <c r="AD43" s="13" t="s">
        <v>736</v>
      </c>
      <c r="AE43" s="13" t="s">
        <v>737</v>
      </c>
      <c r="AF43" t="s">
        <v>738</v>
      </c>
    </row>
    <row r="44" spans="1:32" ht="36" customHeight="1" x14ac:dyDescent="0.25">
      <c r="A44" s="14" t="s">
        <v>739</v>
      </c>
      <c r="B44" s="13"/>
      <c r="C44" s="13"/>
      <c r="D44" s="13" t="s">
        <v>740</v>
      </c>
      <c r="E44" s="13" t="s">
        <v>741</v>
      </c>
      <c r="F44" s="13"/>
      <c r="G44" s="13" t="s">
        <v>742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 t="s">
        <v>743</v>
      </c>
      <c r="Z44" s="13"/>
      <c r="AA44" s="17" t="s">
        <v>744</v>
      </c>
      <c r="AB44" s="13"/>
      <c r="AC44" s="13"/>
      <c r="AD44" s="13"/>
      <c r="AE44" s="13"/>
      <c r="AF44" t="s">
        <v>745</v>
      </c>
    </row>
    <row r="45" spans="1:32" ht="36" customHeight="1" x14ac:dyDescent="0.25">
      <c r="A45" s="14" t="s">
        <v>746</v>
      </c>
      <c r="B45" s="13" t="s">
        <v>747</v>
      </c>
      <c r="C45" s="13"/>
      <c r="D45" s="13"/>
      <c r="E45" s="13"/>
      <c r="F45" s="13"/>
      <c r="G45" s="13"/>
      <c r="H45" s="13"/>
      <c r="I45" s="13"/>
      <c r="J45" s="13" t="s">
        <v>748</v>
      </c>
      <c r="K45" s="13"/>
      <c r="L45" s="13"/>
      <c r="M45" s="13"/>
      <c r="N45" s="13" t="s">
        <v>749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7" t="s">
        <v>750</v>
      </c>
      <c r="AB45" s="13"/>
      <c r="AC45" s="13"/>
      <c r="AD45" s="13"/>
      <c r="AE45" s="13" t="s">
        <v>737</v>
      </c>
      <c r="AF45" t="s">
        <v>751</v>
      </c>
    </row>
    <row r="46" spans="1:32" ht="36" customHeight="1" x14ac:dyDescent="0.25">
      <c r="A46" s="14" t="s">
        <v>752</v>
      </c>
      <c r="B46" s="13" t="s">
        <v>753</v>
      </c>
      <c r="C46" s="13"/>
      <c r="D46" s="13"/>
      <c r="E46" s="13" t="s">
        <v>754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7" t="s">
        <v>755</v>
      </c>
      <c r="AB46" s="13"/>
      <c r="AC46" s="13"/>
      <c r="AD46" s="13"/>
      <c r="AE46" s="13"/>
      <c r="AF46" t="s">
        <v>756</v>
      </c>
    </row>
    <row r="47" spans="1:32" ht="36" customHeight="1" x14ac:dyDescent="0.25">
      <c r="A47" s="14" t="s">
        <v>757</v>
      </c>
      <c r="B47" s="13" t="s">
        <v>758</v>
      </c>
      <c r="C47" s="13" t="s">
        <v>759</v>
      </c>
      <c r="D47" s="13" t="s">
        <v>760</v>
      </c>
      <c r="E47" s="13" t="s">
        <v>761</v>
      </c>
      <c r="F47" s="13" t="s">
        <v>762</v>
      </c>
      <c r="G47" s="13" t="s">
        <v>763</v>
      </c>
      <c r="H47" s="13" t="s">
        <v>764</v>
      </c>
      <c r="I47" s="13" t="s">
        <v>765</v>
      </c>
      <c r="J47" s="13" t="s">
        <v>766</v>
      </c>
      <c r="K47" s="13" t="s">
        <v>767</v>
      </c>
      <c r="L47" s="13" t="s">
        <v>768</v>
      </c>
      <c r="M47" s="13" t="s">
        <v>769</v>
      </c>
      <c r="N47" s="13" t="s">
        <v>770</v>
      </c>
      <c r="O47" s="13" t="s">
        <v>771</v>
      </c>
      <c r="P47" s="13" t="s">
        <v>772</v>
      </c>
      <c r="Q47" s="13" t="s">
        <v>773</v>
      </c>
      <c r="R47" s="13"/>
      <c r="S47" s="13" t="s">
        <v>774</v>
      </c>
      <c r="T47" s="13" t="s">
        <v>775</v>
      </c>
      <c r="U47" s="13"/>
      <c r="V47" s="13"/>
      <c r="W47" s="13"/>
      <c r="X47" s="13" t="s">
        <v>776</v>
      </c>
      <c r="Y47" s="13" t="s">
        <v>777</v>
      </c>
      <c r="Z47" s="13"/>
      <c r="AA47" s="17" t="s">
        <v>778</v>
      </c>
      <c r="AB47" s="13"/>
      <c r="AC47" s="13"/>
      <c r="AD47" s="13"/>
      <c r="AE47" s="13"/>
    </row>
    <row r="48" spans="1:32" ht="36" customHeight="1" x14ac:dyDescent="0.25">
      <c r="A48" s="14" t="s">
        <v>779</v>
      </c>
      <c r="B48" s="13" t="s">
        <v>780</v>
      </c>
      <c r="C48" s="13" t="s">
        <v>781</v>
      </c>
      <c r="D48" s="13" t="s">
        <v>782</v>
      </c>
      <c r="E48" s="13" t="s">
        <v>783</v>
      </c>
      <c r="F48" s="13" t="s">
        <v>784</v>
      </c>
      <c r="G48" s="13" t="s">
        <v>785</v>
      </c>
      <c r="H48" s="13"/>
      <c r="I48" s="13"/>
      <c r="J48" s="13" t="s">
        <v>786</v>
      </c>
      <c r="K48" s="13" t="s">
        <v>787</v>
      </c>
      <c r="L48" s="13" t="s">
        <v>788</v>
      </c>
      <c r="M48" s="13" t="s">
        <v>789</v>
      </c>
      <c r="N48" s="13" t="s">
        <v>790</v>
      </c>
      <c r="O48" s="13" t="s">
        <v>771</v>
      </c>
      <c r="P48" s="13" t="s">
        <v>791</v>
      </c>
      <c r="Q48" s="13" t="s">
        <v>792</v>
      </c>
      <c r="R48" s="13"/>
      <c r="S48" s="13" t="s">
        <v>774</v>
      </c>
      <c r="T48" s="13" t="s">
        <v>793</v>
      </c>
      <c r="U48" s="13" t="s">
        <v>794</v>
      </c>
      <c r="V48" s="13"/>
      <c r="W48" s="13"/>
      <c r="X48" s="13" t="s">
        <v>776</v>
      </c>
      <c r="Y48" s="13" t="s">
        <v>777</v>
      </c>
      <c r="Z48" s="13"/>
      <c r="AA48" s="17" t="s">
        <v>795</v>
      </c>
      <c r="AB48" s="13"/>
      <c r="AC48" s="13" t="s">
        <v>796</v>
      </c>
      <c r="AD48" s="13"/>
      <c r="AE48" s="13"/>
    </row>
    <row r="49" spans="1:32" ht="36" customHeight="1" x14ac:dyDescent="0.25">
      <c r="A49" s="14" t="s">
        <v>797</v>
      </c>
      <c r="B49" s="13" t="s">
        <v>798</v>
      </c>
      <c r="C49" s="13" t="s">
        <v>799</v>
      </c>
      <c r="D49" s="13" t="s">
        <v>800</v>
      </c>
      <c r="E49" s="13" t="s">
        <v>801</v>
      </c>
      <c r="F49" s="13" t="s">
        <v>802</v>
      </c>
      <c r="G49" s="13" t="s">
        <v>803</v>
      </c>
      <c r="H49" s="13" t="s">
        <v>804</v>
      </c>
      <c r="I49" s="13" t="s">
        <v>805</v>
      </c>
      <c r="J49" s="13" t="s">
        <v>806</v>
      </c>
      <c r="K49" s="13" t="s">
        <v>807</v>
      </c>
      <c r="L49" s="13" t="s">
        <v>808</v>
      </c>
      <c r="M49" s="13" t="s">
        <v>809</v>
      </c>
      <c r="N49" s="13" t="s">
        <v>810</v>
      </c>
      <c r="O49" s="13" t="s">
        <v>811</v>
      </c>
      <c r="P49" s="13" t="s">
        <v>812</v>
      </c>
      <c r="Q49" s="13" t="s">
        <v>813</v>
      </c>
      <c r="R49" s="13" t="s">
        <v>814</v>
      </c>
      <c r="S49" s="13"/>
      <c r="T49" s="13" t="s">
        <v>815</v>
      </c>
      <c r="U49" s="13" t="s">
        <v>816</v>
      </c>
      <c r="V49" s="13" t="s">
        <v>817</v>
      </c>
      <c r="W49" s="13" t="s">
        <v>818</v>
      </c>
      <c r="X49" s="13" t="s">
        <v>819</v>
      </c>
      <c r="Y49" s="13" t="s">
        <v>820</v>
      </c>
      <c r="Z49" s="13" t="s">
        <v>821</v>
      </c>
      <c r="AA49" s="17" t="s">
        <v>822</v>
      </c>
      <c r="AB49" s="13" t="s">
        <v>823</v>
      </c>
      <c r="AC49" s="13" t="s">
        <v>824</v>
      </c>
      <c r="AD49" s="13" t="s">
        <v>825</v>
      </c>
      <c r="AE49" s="13" t="s">
        <v>826</v>
      </c>
      <c r="AF49" t="s">
        <v>827</v>
      </c>
    </row>
    <row r="50" spans="1:32" ht="23.1" customHeight="1" x14ac:dyDescent="0.25">
      <c r="A50" s="15" t="s">
        <v>828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  <c r="AB50" s="15"/>
      <c r="AC50" s="15"/>
      <c r="AD50" s="15"/>
      <c r="AE50" s="15"/>
    </row>
    <row r="51" spans="1:32" ht="36" customHeight="1" x14ac:dyDescent="0.25">
      <c r="A51" s="14" t="s">
        <v>829</v>
      </c>
      <c r="B51" s="13" t="s">
        <v>830</v>
      </c>
      <c r="C51" s="13"/>
      <c r="D51" s="13"/>
      <c r="E51" s="13"/>
      <c r="F51" s="13"/>
      <c r="G51" s="13" t="s">
        <v>831</v>
      </c>
      <c r="H51" s="13"/>
      <c r="I51" s="13"/>
      <c r="J51" s="13"/>
      <c r="K51" s="13" t="s">
        <v>832</v>
      </c>
      <c r="L51" s="13"/>
      <c r="M51" s="13"/>
      <c r="N51" s="13"/>
      <c r="O51" s="13"/>
      <c r="P51" s="13"/>
      <c r="Q51" s="13" t="s">
        <v>833</v>
      </c>
      <c r="R51" s="13"/>
      <c r="S51" s="13"/>
      <c r="T51" s="13" t="s">
        <v>215</v>
      </c>
      <c r="U51" s="13"/>
      <c r="V51" s="13"/>
      <c r="W51" s="13" t="s">
        <v>834</v>
      </c>
      <c r="X51" s="13" t="s">
        <v>835</v>
      </c>
      <c r="Y51" s="13"/>
      <c r="Z51" s="13"/>
      <c r="AA51" s="17" t="s">
        <v>836</v>
      </c>
      <c r="AB51" s="13"/>
      <c r="AC51" s="13"/>
      <c r="AD51" s="13" t="s">
        <v>837</v>
      </c>
      <c r="AE51" s="13" t="s">
        <v>215</v>
      </c>
      <c r="AF51" t="s">
        <v>215</v>
      </c>
    </row>
    <row r="52" spans="1:32" ht="36" customHeight="1" x14ac:dyDescent="0.25">
      <c r="A52" s="14" t="s">
        <v>838</v>
      </c>
      <c r="B52" s="13" t="s">
        <v>839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7" t="s">
        <v>840</v>
      </c>
      <c r="AB52" s="13"/>
      <c r="AC52" s="13"/>
      <c r="AD52" s="13"/>
      <c r="AE52" s="13"/>
      <c r="AF52" t="s">
        <v>841</v>
      </c>
    </row>
    <row r="53" spans="1:32" ht="36" customHeight="1" x14ac:dyDescent="0.25">
      <c r="A53" s="14" t="s">
        <v>842</v>
      </c>
      <c r="B53" s="13" t="s">
        <v>843</v>
      </c>
      <c r="C53" s="13"/>
      <c r="D53" s="13"/>
      <c r="E53" s="13"/>
      <c r="F53" s="13"/>
      <c r="G53" s="13"/>
      <c r="H53" s="13"/>
      <c r="I53" s="13"/>
      <c r="J53" s="13"/>
      <c r="K53" s="13"/>
      <c r="L53" s="13" t="s">
        <v>844</v>
      </c>
      <c r="M53" s="13" t="s">
        <v>845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7" t="s">
        <v>846</v>
      </c>
      <c r="AB53" s="13"/>
      <c r="AC53" s="13"/>
      <c r="AD53" s="13"/>
      <c r="AE53" s="13"/>
      <c r="AF53" t="s">
        <v>847</v>
      </c>
    </row>
    <row r="54" spans="1:32" ht="36" customHeight="1" x14ac:dyDescent="0.25">
      <c r="A54" s="14" t="s">
        <v>848</v>
      </c>
      <c r="B54" s="13" t="s">
        <v>849</v>
      </c>
      <c r="C54" s="13"/>
      <c r="D54" s="13"/>
      <c r="E54" s="13"/>
      <c r="F54" s="13" t="s">
        <v>850</v>
      </c>
      <c r="G54" s="13" t="s">
        <v>851</v>
      </c>
      <c r="H54" s="13"/>
      <c r="I54" s="13"/>
      <c r="J54" s="13"/>
      <c r="K54" s="13" t="s">
        <v>852</v>
      </c>
      <c r="L54" s="13" t="s">
        <v>853</v>
      </c>
      <c r="M54" s="13" t="s">
        <v>854</v>
      </c>
      <c r="N54" s="13"/>
      <c r="O54" s="13"/>
      <c r="P54" s="13"/>
      <c r="Q54" s="13"/>
      <c r="R54" s="13"/>
      <c r="S54" s="13"/>
      <c r="T54" s="13"/>
      <c r="U54" s="13"/>
      <c r="V54" s="13"/>
      <c r="W54" s="13" t="s">
        <v>855</v>
      </c>
      <c r="X54" s="13"/>
      <c r="Y54" s="13"/>
      <c r="Z54" s="13"/>
      <c r="AA54" s="17" t="s">
        <v>856</v>
      </c>
      <c r="AB54" s="13"/>
      <c r="AC54" s="13"/>
      <c r="AD54" s="13" t="s">
        <v>857</v>
      </c>
      <c r="AE54" s="13"/>
      <c r="AF54" t="s">
        <v>858</v>
      </c>
    </row>
    <row r="55" spans="1:32" ht="36" customHeight="1" x14ac:dyDescent="0.25">
      <c r="A55" s="14" t="s">
        <v>859</v>
      </c>
      <c r="B55" s="13" t="s">
        <v>860</v>
      </c>
      <c r="C55" s="13"/>
      <c r="D55" s="13"/>
      <c r="E55" s="13"/>
      <c r="F55" s="13"/>
      <c r="G55" s="13" t="s">
        <v>251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7" t="s">
        <v>861</v>
      </c>
      <c r="AB55" s="13"/>
      <c r="AC55" s="13"/>
      <c r="AD55" s="13"/>
      <c r="AE55" s="13"/>
      <c r="AF55" t="s">
        <v>862</v>
      </c>
    </row>
  </sheetData>
  <mergeCells count="1">
    <mergeCell ref="A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4"/>
  <sheetViews>
    <sheetView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0" customWidth="1"/>
    <col min="2" max="2" width="38" customWidth="1"/>
    <col min="3" max="3" width="76" customWidth="1"/>
  </cols>
  <sheetData>
    <row r="1" spans="1:32" ht="27.95" customHeight="1" x14ac:dyDescent="0.3">
      <c r="A1" s="28" t="str">
        <f>IFERROR(HYPERLINK("#'Sheet Directory'!A1","Comparison Guide — field conventions and modeling rules"),"Comparison Guide — field conventions and modeling rules")</f>
        <v>Comparison Guide — field conventions and modeling rules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863</v>
      </c>
      <c r="B2" s="11" t="s">
        <v>864</v>
      </c>
      <c r="C2" s="11" t="s">
        <v>865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30" x14ac:dyDescent="0.25">
      <c r="A3" s="2" t="s">
        <v>866</v>
      </c>
      <c r="B3" s="2" t="s">
        <v>867</v>
      </c>
      <c r="C3" s="2" t="s">
        <v>868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30" x14ac:dyDescent="0.25">
      <c r="A4" s="2" t="s">
        <v>228</v>
      </c>
      <c r="B4" s="2" t="s">
        <v>869</v>
      </c>
      <c r="C4" s="2" t="s">
        <v>870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215</v>
      </c>
      <c r="B5" s="2" t="s">
        <v>871</v>
      </c>
      <c r="C5" s="2" t="s">
        <v>872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225</v>
      </c>
      <c r="B6" s="2" t="s">
        <v>873</v>
      </c>
      <c r="C6" s="2" t="s">
        <v>874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670</v>
      </c>
      <c r="B7" s="2" t="s">
        <v>875</v>
      </c>
      <c r="C7" s="2" t="s">
        <v>876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877</v>
      </c>
      <c r="B8" s="2" t="s">
        <v>878</v>
      </c>
      <c r="C8" s="2" t="s">
        <v>879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880</v>
      </c>
      <c r="B9" s="2" t="s">
        <v>881</v>
      </c>
      <c r="C9" s="2" t="s">
        <v>882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30" x14ac:dyDescent="0.25">
      <c r="A10" s="2" t="s">
        <v>883</v>
      </c>
      <c r="B10" s="2" t="s">
        <v>884</v>
      </c>
      <c r="C10" s="2" t="s">
        <v>885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30" x14ac:dyDescent="0.25">
      <c r="A11" s="2" t="s">
        <v>75</v>
      </c>
      <c r="B11" s="2" t="s">
        <v>886</v>
      </c>
      <c r="C11" s="2" t="s">
        <v>887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888</v>
      </c>
      <c r="B12" s="2" t="s">
        <v>889</v>
      </c>
      <c r="C12" s="2" t="s">
        <v>890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30" x14ac:dyDescent="0.25">
      <c r="A13" s="2" t="s">
        <v>891</v>
      </c>
      <c r="B13" s="2" t="s">
        <v>892</v>
      </c>
      <c r="C13" s="2" t="s">
        <v>893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894</v>
      </c>
      <c r="B14" s="2" t="s">
        <v>895</v>
      </c>
      <c r="C14" s="2" t="s">
        <v>896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30" x14ac:dyDescent="0.25">
      <c r="A15" s="2" t="s">
        <v>897</v>
      </c>
      <c r="B15" s="2" t="s">
        <v>898</v>
      </c>
      <c r="C15" s="2" t="s">
        <v>899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30" x14ac:dyDescent="0.25">
      <c r="A16" s="2" t="s">
        <v>900</v>
      </c>
      <c r="B16" s="2" t="s">
        <v>901</v>
      </c>
      <c r="C16" s="2" t="s">
        <v>902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903</v>
      </c>
      <c r="B17" s="2" t="s">
        <v>904</v>
      </c>
      <c r="C17" s="2" t="s">
        <v>905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30" x14ac:dyDescent="0.25">
      <c r="A18" s="2" t="s">
        <v>906</v>
      </c>
      <c r="B18" s="2" t="s">
        <v>907</v>
      </c>
      <c r="C18" s="2" t="s">
        <v>908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30" x14ac:dyDescent="0.25">
      <c r="A19" s="2" t="s">
        <v>909</v>
      </c>
      <c r="B19" s="2" t="s">
        <v>910</v>
      </c>
      <c r="C19" s="2" t="s">
        <v>911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30" x14ac:dyDescent="0.25">
      <c r="A20" s="2" t="s">
        <v>912</v>
      </c>
      <c r="B20" s="2" t="s">
        <v>913</v>
      </c>
      <c r="C20" s="2" t="s">
        <v>914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915</v>
      </c>
      <c r="B21" s="2" t="s">
        <v>916</v>
      </c>
      <c r="C21" s="2" t="s">
        <v>917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918</v>
      </c>
      <c r="B22" s="2" t="s">
        <v>919</v>
      </c>
      <c r="C22" s="2" t="s">
        <v>920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30" x14ac:dyDescent="0.25">
      <c r="A23" s="2" t="s">
        <v>266</v>
      </c>
      <c r="B23" s="2" t="s">
        <v>921</v>
      </c>
      <c r="C23" s="2" t="s">
        <v>922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30" x14ac:dyDescent="0.25">
      <c r="A24" s="2" t="s">
        <v>923</v>
      </c>
      <c r="B24" s="2" t="s">
        <v>924</v>
      </c>
      <c r="C24" s="2" t="s">
        <v>925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30" x14ac:dyDescent="0.25">
      <c r="A25" s="2" t="s">
        <v>926</v>
      </c>
      <c r="B25" s="2" t="s">
        <v>927</v>
      </c>
      <c r="C25" s="2" t="s">
        <v>928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30" x14ac:dyDescent="0.25">
      <c r="A26" s="2" t="s">
        <v>929</v>
      </c>
      <c r="B26" s="2" t="s">
        <v>930</v>
      </c>
      <c r="C26" s="2" t="s">
        <v>931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30" x14ac:dyDescent="0.25">
      <c r="A27" s="2" t="s">
        <v>932</v>
      </c>
      <c r="B27" s="2" t="s">
        <v>933</v>
      </c>
      <c r="C27" s="2" t="s">
        <v>934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30" x14ac:dyDescent="0.25">
      <c r="A28" s="2" t="s">
        <v>935</v>
      </c>
      <c r="B28" s="2" t="s">
        <v>936</v>
      </c>
      <c r="C28" s="2" t="s">
        <v>937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30" x14ac:dyDescent="0.25">
      <c r="A29" s="2" t="s">
        <v>938</v>
      </c>
      <c r="B29" s="2" t="s">
        <v>939</v>
      </c>
      <c r="C29" s="2" t="s">
        <v>940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45" x14ac:dyDescent="0.25">
      <c r="A30" s="2" t="s">
        <v>251</v>
      </c>
      <c r="B30" s="2" t="s">
        <v>941</v>
      </c>
      <c r="C30" s="2" t="s">
        <v>942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30" x14ac:dyDescent="0.25">
      <c r="A31" s="2" t="s">
        <v>300</v>
      </c>
      <c r="B31" s="2" t="s">
        <v>943</v>
      </c>
      <c r="C31" s="2" t="s">
        <v>944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30" x14ac:dyDescent="0.25">
      <c r="A32" s="2" t="s">
        <v>945</v>
      </c>
      <c r="B32" s="2" t="s">
        <v>946</v>
      </c>
      <c r="C32" s="2" t="s">
        <v>947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30" x14ac:dyDescent="0.25">
      <c r="A33" s="2" t="s">
        <v>948</v>
      </c>
      <c r="B33" s="2" t="s">
        <v>949</v>
      </c>
      <c r="C33" s="2" t="s">
        <v>950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45" x14ac:dyDescent="0.25">
      <c r="A34" s="2" t="s">
        <v>951</v>
      </c>
      <c r="B34" s="2" t="s">
        <v>952</v>
      </c>
      <c r="C34" s="2" t="s">
        <v>953</v>
      </c>
    </row>
  </sheetData>
  <mergeCells count="1">
    <mergeCell ref="A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7"/>
  <sheetViews>
    <sheetView workbookViewId="0">
      <pane xSplit="2" ySplit="2" topLeftCell="Y17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Directory'!A1","Core Features — expanded communication, content, and project baseline"),"Core Features — expanded communication, content, and project baseline")</f>
        <v>Core Features — expanded communication, content, and project baseline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954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955</v>
      </c>
      <c r="B4" s="13" t="s">
        <v>215</v>
      </c>
      <c r="C4" s="13" t="s">
        <v>215</v>
      </c>
      <c r="D4" s="13" t="s">
        <v>215</v>
      </c>
      <c r="E4" s="13" t="s">
        <v>215</v>
      </c>
      <c r="F4" s="13" t="s">
        <v>215</v>
      </c>
      <c r="G4" s="13" t="s">
        <v>956</v>
      </c>
      <c r="H4" s="13" t="s">
        <v>215</v>
      </c>
      <c r="I4" s="13" t="s">
        <v>957</v>
      </c>
      <c r="J4" s="13" t="s">
        <v>958</v>
      </c>
      <c r="K4" s="13" t="s">
        <v>215</v>
      </c>
      <c r="L4" s="13" t="s">
        <v>215</v>
      </c>
      <c r="M4" s="13" t="s">
        <v>215</v>
      </c>
      <c r="N4" s="13" t="s">
        <v>215</v>
      </c>
      <c r="O4" s="13" t="s">
        <v>215</v>
      </c>
      <c r="P4" s="13" t="s">
        <v>215</v>
      </c>
      <c r="Q4" s="13" t="s">
        <v>215</v>
      </c>
      <c r="R4" s="13" t="s">
        <v>215</v>
      </c>
      <c r="S4" s="13" t="s">
        <v>215</v>
      </c>
      <c r="T4" s="13" t="s">
        <v>215</v>
      </c>
      <c r="U4" s="13" t="s">
        <v>215</v>
      </c>
      <c r="V4" s="13" t="s">
        <v>215</v>
      </c>
      <c r="W4" s="13"/>
      <c r="X4" s="13" t="s">
        <v>215</v>
      </c>
      <c r="Y4" s="13" t="s">
        <v>215</v>
      </c>
      <c r="Z4" s="13" t="s">
        <v>215</v>
      </c>
      <c r="AA4" s="17" t="s">
        <v>215</v>
      </c>
      <c r="AB4" s="13" t="s">
        <v>215</v>
      </c>
      <c r="AC4" s="13" t="s">
        <v>215</v>
      </c>
      <c r="AD4" s="13" t="s">
        <v>215</v>
      </c>
      <c r="AE4" s="13" t="s">
        <v>215</v>
      </c>
      <c r="AF4" t="s">
        <v>215</v>
      </c>
    </row>
    <row r="5" spans="1:32" ht="36" customHeight="1" x14ac:dyDescent="0.25">
      <c r="A5" s="14" t="s">
        <v>959</v>
      </c>
      <c r="B5" s="13" t="s">
        <v>215</v>
      </c>
      <c r="C5" s="13" t="s">
        <v>215</v>
      </c>
      <c r="D5" s="13" t="s">
        <v>215</v>
      </c>
      <c r="E5" s="13" t="s">
        <v>215</v>
      </c>
      <c r="F5" s="13" t="s">
        <v>215</v>
      </c>
      <c r="G5" s="13" t="s">
        <v>960</v>
      </c>
      <c r="H5" s="13" t="s">
        <v>215</v>
      </c>
      <c r="I5" s="13" t="s">
        <v>961</v>
      </c>
      <c r="J5" s="13"/>
      <c r="K5" s="13" t="s">
        <v>215</v>
      </c>
      <c r="L5" s="13" t="s">
        <v>215</v>
      </c>
      <c r="M5" s="13" t="s">
        <v>215</v>
      </c>
      <c r="N5" s="13" t="s">
        <v>215</v>
      </c>
      <c r="O5" s="13" t="s">
        <v>215</v>
      </c>
      <c r="P5" s="13" t="s">
        <v>215</v>
      </c>
      <c r="Q5" s="13" t="s">
        <v>215</v>
      </c>
      <c r="R5" s="13"/>
      <c r="S5" s="13" t="s">
        <v>215</v>
      </c>
      <c r="T5" s="13" t="s">
        <v>215</v>
      </c>
      <c r="U5" s="13"/>
      <c r="V5" s="13"/>
      <c r="W5" s="13" t="s">
        <v>962</v>
      </c>
      <c r="X5" s="13" t="s">
        <v>215</v>
      </c>
      <c r="Y5" s="13"/>
      <c r="Z5" s="13"/>
      <c r="AA5" s="17" t="s">
        <v>215</v>
      </c>
      <c r="AB5" s="13" t="s">
        <v>215</v>
      </c>
      <c r="AC5" s="13" t="s">
        <v>215</v>
      </c>
      <c r="AD5" s="13" t="s">
        <v>215</v>
      </c>
      <c r="AE5" s="13" t="s">
        <v>215</v>
      </c>
      <c r="AF5" t="s">
        <v>215</v>
      </c>
    </row>
    <row r="6" spans="1:32" ht="36" customHeight="1" x14ac:dyDescent="0.25">
      <c r="A6" s="14" t="s">
        <v>963</v>
      </c>
      <c r="B6" s="13" t="s">
        <v>964</v>
      </c>
      <c r="C6" s="13" t="s">
        <v>215</v>
      </c>
      <c r="D6" s="13" t="s">
        <v>215</v>
      </c>
      <c r="E6" s="13"/>
      <c r="F6" s="13" t="s">
        <v>215</v>
      </c>
      <c r="G6" s="13" t="s">
        <v>965</v>
      </c>
      <c r="H6" s="13" t="s">
        <v>966</v>
      </c>
      <c r="I6" s="13" t="s">
        <v>967</v>
      </c>
      <c r="J6" s="13" t="s">
        <v>968</v>
      </c>
      <c r="K6" s="13" t="s">
        <v>969</v>
      </c>
      <c r="L6" s="13" t="s">
        <v>970</v>
      </c>
      <c r="M6" s="13" t="s">
        <v>971</v>
      </c>
      <c r="N6" s="13" t="s">
        <v>972</v>
      </c>
      <c r="O6" s="13" t="s">
        <v>972</v>
      </c>
      <c r="P6" s="13" t="s">
        <v>973</v>
      </c>
      <c r="Q6" s="13" t="s">
        <v>974</v>
      </c>
      <c r="R6" s="13"/>
      <c r="S6" s="13" t="s">
        <v>975</v>
      </c>
      <c r="T6" s="13" t="s">
        <v>215</v>
      </c>
      <c r="U6" s="13" t="s">
        <v>976</v>
      </c>
      <c r="V6" s="13"/>
      <c r="W6" s="13" t="s">
        <v>977</v>
      </c>
      <c r="X6" s="13" t="s">
        <v>215</v>
      </c>
      <c r="Y6" s="13" t="s">
        <v>972</v>
      </c>
      <c r="Z6" s="13"/>
      <c r="AA6" s="17" t="s">
        <v>978</v>
      </c>
      <c r="AB6" s="13" t="s">
        <v>215</v>
      </c>
      <c r="AC6" s="13" t="s">
        <v>972</v>
      </c>
      <c r="AD6" s="13" t="s">
        <v>979</v>
      </c>
      <c r="AE6" s="13" t="s">
        <v>980</v>
      </c>
      <c r="AF6" t="s">
        <v>215</v>
      </c>
    </row>
    <row r="7" spans="1:32" ht="36" customHeight="1" x14ac:dyDescent="0.25">
      <c r="A7" s="14" t="s">
        <v>981</v>
      </c>
      <c r="B7" s="13" t="s">
        <v>215</v>
      </c>
      <c r="C7" s="13" t="s">
        <v>215</v>
      </c>
      <c r="D7" s="13" t="s">
        <v>215</v>
      </c>
      <c r="E7" s="13"/>
      <c r="F7" s="13" t="s">
        <v>215</v>
      </c>
      <c r="G7" s="13" t="s">
        <v>215</v>
      </c>
      <c r="H7" s="13" t="s">
        <v>982</v>
      </c>
      <c r="I7" s="13" t="s">
        <v>983</v>
      </c>
      <c r="J7" s="13" t="s">
        <v>984</v>
      </c>
      <c r="K7" s="13" t="s">
        <v>215</v>
      </c>
      <c r="L7" s="13" t="s">
        <v>985</v>
      </c>
      <c r="M7" s="13" t="s">
        <v>986</v>
      </c>
      <c r="N7" s="13" t="s">
        <v>215</v>
      </c>
      <c r="O7" s="13" t="s">
        <v>987</v>
      </c>
      <c r="P7" s="13" t="s">
        <v>988</v>
      </c>
      <c r="Q7" s="13" t="s">
        <v>215</v>
      </c>
      <c r="R7" s="13"/>
      <c r="S7" s="13" t="s">
        <v>215</v>
      </c>
      <c r="T7" s="13" t="s">
        <v>215</v>
      </c>
      <c r="U7" s="13" t="s">
        <v>215</v>
      </c>
      <c r="V7" s="13"/>
      <c r="W7" s="13" t="s">
        <v>989</v>
      </c>
      <c r="X7" s="13" t="s">
        <v>215</v>
      </c>
      <c r="Y7" s="13" t="s">
        <v>215</v>
      </c>
      <c r="Z7" s="13"/>
      <c r="AA7" s="17" t="s">
        <v>215</v>
      </c>
      <c r="AB7" s="13" t="s">
        <v>215</v>
      </c>
      <c r="AC7" s="13" t="s">
        <v>215</v>
      </c>
      <c r="AD7" s="13" t="s">
        <v>215</v>
      </c>
      <c r="AE7" s="13" t="s">
        <v>215</v>
      </c>
      <c r="AF7" t="s">
        <v>215</v>
      </c>
    </row>
    <row r="8" spans="1:32" ht="36" customHeight="1" x14ac:dyDescent="0.25">
      <c r="A8" s="14" t="s">
        <v>990</v>
      </c>
      <c r="B8" s="13" t="s">
        <v>215</v>
      </c>
      <c r="C8" s="13" t="s">
        <v>215</v>
      </c>
      <c r="D8" s="13" t="s">
        <v>215</v>
      </c>
      <c r="E8" s="13"/>
      <c r="F8" s="13" t="s">
        <v>215</v>
      </c>
      <c r="G8" s="13" t="s">
        <v>991</v>
      </c>
      <c r="H8" s="13" t="s">
        <v>992</v>
      </c>
      <c r="I8" s="13" t="s">
        <v>215</v>
      </c>
      <c r="J8" s="13" t="s">
        <v>215</v>
      </c>
      <c r="K8" s="13" t="s">
        <v>993</v>
      </c>
      <c r="L8" s="13" t="s">
        <v>994</v>
      </c>
      <c r="M8" s="13" t="s">
        <v>995</v>
      </c>
      <c r="N8" s="13" t="s">
        <v>215</v>
      </c>
      <c r="O8" s="13"/>
      <c r="P8" s="13" t="s">
        <v>215</v>
      </c>
      <c r="Q8" s="13" t="s">
        <v>215</v>
      </c>
      <c r="R8" s="13"/>
      <c r="S8" s="13" t="s">
        <v>215</v>
      </c>
      <c r="T8" s="13" t="s">
        <v>215</v>
      </c>
      <c r="U8" s="13" t="s">
        <v>215</v>
      </c>
      <c r="V8" s="13"/>
      <c r="W8" s="13"/>
      <c r="X8" s="13" t="s">
        <v>215</v>
      </c>
      <c r="Y8" s="13" t="s">
        <v>215</v>
      </c>
      <c r="Z8" s="13" t="s">
        <v>215</v>
      </c>
      <c r="AA8" s="17" t="s">
        <v>215</v>
      </c>
      <c r="AB8" s="13" t="s">
        <v>215</v>
      </c>
      <c r="AC8" s="13" t="s">
        <v>215</v>
      </c>
      <c r="AD8" s="13" t="s">
        <v>215</v>
      </c>
      <c r="AE8" s="13" t="s">
        <v>215</v>
      </c>
      <c r="AF8" t="s">
        <v>215</v>
      </c>
    </row>
    <row r="9" spans="1:32" ht="36" customHeight="1" x14ac:dyDescent="0.25">
      <c r="A9" s="14" t="s">
        <v>996</v>
      </c>
      <c r="B9" s="13" t="s">
        <v>997</v>
      </c>
      <c r="C9" s="13" t="s">
        <v>998</v>
      </c>
      <c r="D9" s="13" t="s">
        <v>999</v>
      </c>
      <c r="E9" s="13" t="s">
        <v>215</v>
      </c>
      <c r="F9" s="13" t="s">
        <v>1000</v>
      </c>
      <c r="G9" s="13" t="s">
        <v>1001</v>
      </c>
      <c r="H9" s="13" t="s">
        <v>1002</v>
      </c>
      <c r="I9" s="13" t="s">
        <v>1003</v>
      </c>
      <c r="J9" s="13" t="s">
        <v>967</v>
      </c>
      <c r="K9" s="13" t="s">
        <v>1004</v>
      </c>
      <c r="L9" s="13" t="s">
        <v>1005</v>
      </c>
      <c r="M9" s="13" t="s">
        <v>1006</v>
      </c>
      <c r="N9" s="13" t="s">
        <v>998</v>
      </c>
      <c r="O9" s="13" t="s">
        <v>1007</v>
      </c>
      <c r="P9" s="13" t="s">
        <v>1007</v>
      </c>
      <c r="Q9" s="13" t="s">
        <v>1008</v>
      </c>
      <c r="R9" s="13" t="s">
        <v>1009</v>
      </c>
      <c r="S9" s="13" t="s">
        <v>1010</v>
      </c>
      <c r="T9" s="13" t="s">
        <v>1011</v>
      </c>
      <c r="U9" s="13" t="s">
        <v>1012</v>
      </c>
      <c r="V9" s="13" t="s">
        <v>1013</v>
      </c>
      <c r="W9" s="13" t="s">
        <v>1014</v>
      </c>
      <c r="X9" s="13" t="s">
        <v>1015</v>
      </c>
      <c r="Y9" s="13" t="s">
        <v>1016</v>
      </c>
      <c r="Z9" s="13" t="s">
        <v>967</v>
      </c>
      <c r="AA9" s="17" t="s">
        <v>1007</v>
      </c>
      <c r="AB9" s="13" t="s">
        <v>1007</v>
      </c>
      <c r="AC9" s="13" t="s">
        <v>1011</v>
      </c>
      <c r="AD9" s="13" t="s">
        <v>1017</v>
      </c>
      <c r="AE9" s="13" t="s">
        <v>1018</v>
      </c>
      <c r="AF9" t="s">
        <v>215</v>
      </c>
    </row>
    <row r="10" spans="1:32" ht="36" customHeight="1" x14ac:dyDescent="0.25">
      <c r="A10" s="14" t="s">
        <v>1019</v>
      </c>
      <c r="B10" s="13" t="s">
        <v>250</v>
      </c>
      <c r="C10" s="13" t="s">
        <v>215</v>
      </c>
      <c r="D10" s="13" t="s">
        <v>215</v>
      </c>
      <c r="E10" s="13" t="s">
        <v>215</v>
      </c>
      <c r="F10" s="13" t="s">
        <v>215</v>
      </c>
      <c r="G10" s="13" t="s">
        <v>251</v>
      </c>
      <c r="H10" s="13" t="s">
        <v>252</v>
      </c>
      <c r="I10" s="13" t="s">
        <v>225</v>
      </c>
      <c r="J10" s="13"/>
      <c r="K10" s="13" t="s">
        <v>215</v>
      </c>
      <c r="L10" s="13" t="s">
        <v>215</v>
      </c>
      <c r="M10" s="13" t="s">
        <v>215</v>
      </c>
      <c r="N10" s="13" t="s">
        <v>215</v>
      </c>
      <c r="O10" s="13" t="s">
        <v>215</v>
      </c>
      <c r="P10" s="13"/>
      <c r="Q10" s="13" t="s">
        <v>215</v>
      </c>
      <c r="R10" s="13"/>
      <c r="S10" s="13" t="s">
        <v>215</v>
      </c>
      <c r="T10" s="13"/>
      <c r="U10" s="13"/>
      <c r="V10" s="13" t="s">
        <v>254</v>
      </c>
      <c r="W10" s="13"/>
      <c r="X10" s="13"/>
      <c r="Y10" s="13"/>
      <c r="Z10" s="13" t="s">
        <v>215</v>
      </c>
      <c r="AA10" s="17" t="s">
        <v>215</v>
      </c>
      <c r="AB10" s="13" t="s">
        <v>215</v>
      </c>
      <c r="AC10" s="13" t="s">
        <v>215</v>
      </c>
      <c r="AD10" s="13" t="s">
        <v>215</v>
      </c>
      <c r="AE10" s="13" t="s">
        <v>215</v>
      </c>
      <c r="AF10" t="s">
        <v>215</v>
      </c>
    </row>
    <row r="11" spans="1:32" ht="36" customHeight="1" x14ac:dyDescent="0.25">
      <c r="A11" s="14" t="s">
        <v>1020</v>
      </c>
      <c r="B11" s="13" t="s">
        <v>215</v>
      </c>
      <c r="C11" s="13" t="s">
        <v>215</v>
      </c>
      <c r="D11" s="13" t="s">
        <v>215</v>
      </c>
      <c r="E11" s="13" t="s">
        <v>215</v>
      </c>
      <c r="F11" s="13" t="s">
        <v>215</v>
      </c>
      <c r="G11" s="13" t="s">
        <v>251</v>
      </c>
      <c r="H11" s="13" t="s">
        <v>215</v>
      </c>
      <c r="I11" s="13" t="s">
        <v>1021</v>
      </c>
      <c r="J11" s="13" t="s">
        <v>215</v>
      </c>
      <c r="K11" s="13" t="s">
        <v>215</v>
      </c>
      <c r="L11" s="13" t="s">
        <v>215</v>
      </c>
      <c r="M11" s="13" t="s">
        <v>215</v>
      </c>
      <c r="N11" s="13" t="s">
        <v>215</v>
      </c>
      <c r="O11" s="13" t="s">
        <v>215</v>
      </c>
      <c r="P11" s="13" t="s">
        <v>215</v>
      </c>
      <c r="Q11" s="13" t="s">
        <v>215</v>
      </c>
      <c r="R11" s="13"/>
      <c r="S11" s="13" t="s">
        <v>215</v>
      </c>
      <c r="T11" s="13" t="s">
        <v>215</v>
      </c>
      <c r="U11" s="13" t="s">
        <v>215</v>
      </c>
      <c r="V11" s="13"/>
      <c r="W11" s="13"/>
      <c r="X11" s="13" t="s">
        <v>215</v>
      </c>
      <c r="Y11" s="13" t="s">
        <v>1022</v>
      </c>
      <c r="Z11" s="13" t="s">
        <v>215</v>
      </c>
      <c r="AA11" s="17" t="s">
        <v>215</v>
      </c>
      <c r="AB11" s="13" t="s">
        <v>215</v>
      </c>
      <c r="AC11" s="13" t="s">
        <v>215</v>
      </c>
      <c r="AD11" s="13" t="s">
        <v>215</v>
      </c>
      <c r="AE11" s="13" t="s">
        <v>215</v>
      </c>
      <c r="AF11" t="s">
        <v>215</v>
      </c>
    </row>
    <row r="12" spans="1:32" ht="23.1" customHeight="1" x14ac:dyDescent="0.25">
      <c r="A12" s="15" t="s">
        <v>1023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1024</v>
      </c>
      <c r="B13" s="13" t="s">
        <v>215</v>
      </c>
      <c r="C13" s="13" t="s">
        <v>215</v>
      </c>
      <c r="D13" s="13" t="s">
        <v>215</v>
      </c>
      <c r="E13" s="13" t="s">
        <v>215</v>
      </c>
      <c r="F13" s="13" t="s">
        <v>215</v>
      </c>
      <c r="G13" s="13" t="s">
        <v>215</v>
      </c>
      <c r="H13" s="13" t="s">
        <v>215</v>
      </c>
      <c r="I13" s="13" t="s">
        <v>225</v>
      </c>
      <c r="J13" s="13"/>
      <c r="K13" s="13" t="s">
        <v>215</v>
      </c>
      <c r="L13" s="13" t="s">
        <v>215</v>
      </c>
      <c r="M13" s="13" t="s">
        <v>215</v>
      </c>
      <c r="N13" s="13" t="s">
        <v>215</v>
      </c>
      <c r="O13" s="13" t="s">
        <v>215</v>
      </c>
      <c r="P13" s="13" t="s">
        <v>215</v>
      </c>
      <c r="Q13" s="13" t="s">
        <v>215</v>
      </c>
      <c r="R13" s="13" t="s">
        <v>215</v>
      </c>
      <c r="S13" s="13" t="s">
        <v>215</v>
      </c>
      <c r="T13" s="13" t="s">
        <v>215</v>
      </c>
      <c r="U13" s="13" t="s">
        <v>215</v>
      </c>
      <c r="V13" s="13" t="s">
        <v>215</v>
      </c>
      <c r="W13" s="13" t="s">
        <v>215</v>
      </c>
      <c r="X13" s="13" t="s">
        <v>215</v>
      </c>
      <c r="Y13" s="13" t="s">
        <v>1025</v>
      </c>
      <c r="Z13" s="13" t="s">
        <v>215</v>
      </c>
      <c r="AA13" s="17" t="s">
        <v>215</v>
      </c>
      <c r="AB13" s="13" t="s">
        <v>215</v>
      </c>
      <c r="AC13" s="13" t="s">
        <v>215</v>
      </c>
      <c r="AD13" s="13" t="s">
        <v>215</v>
      </c>
      <c r="AE13" s="13" t="s">
        <v>215</v>
      </c>
      <c r="AF13" t="s">
        <v>215</v>
      </c>
    </row>
    <row r="14" spans="1:32" ht="36" customHeight="1" x14ac:dyDescent="0.25">
      <c r="A14" s="14" t="s">
        <v>1026</v>
      </c>
      <c r="B14" s="13" t="s">
        <v>1027</v>
      </c>
      <c r="C14" s="13" t="s">
        <v>642</v>
      </c>
      <c r="D14" s="13"/>
      <c r="E14" s="13" t="s">
        <v>1028</v>
      </c>
      <c r="F14" s="13" t="s">
        <v>1029</v>
      </c>
      <c r="G14" s="13" t="s">
        <v>1030</v>
      </c>
      <c r="H14" s="13" t="s">
        <v>1031</v>
      </c>
      <c r="I14" s="13" t="s">
        <v>228</v>
      </c>
      <c r="J14" s="13"/>
      <c r="K14" s="13" t="s">
        <v>1032</v>
      </c>
      <c r="L14" s="13" t="s">
        <v>1033</v>
      </c>
      <c r="M14" s="13" t="s">
        <v>1033</v>
      </c>
      <c r="N14" s="13" t="s">
        <v>1034</v>
      </c>
      <c r="O14" s="13"/>
      <c r="P14" s="13"/>
      <c r="Q14" s="13"/>
      <c r="R14" s="13"/>
      <c r="S14" s="13" t="s">
        <v>1035</v>
      </c>
      <c r="T14" s="13"/>
      <c r="U14" s="13" t="s">
        <v>1036</v>
      </c>
      <c r="V14" s="13"/>
      <c r="W14" s="13"/>
      <c r="X14" s="13" t="s">
        <v>1037</v>
      </c>
      <c r="Y14" s="13" t="s">
        <v>1038</v>
      </c>
      <c r="Z14" s="13" t="s">
        <v>1039</v>
      </c>
      <c r="AA14" s="17" t="s">
        <v>256</v>
      </c>
      <c r="AB14" s="13"/>
      <c r="AC14" s="13"/>
      <c r="AD14" s="13"/>
      <c r="AE14" s="13"/>
      <c r="AF14" t="s">
        <v>257</v>
      </c>
    </row>
    <row r="15" spans="1:32" ht="36" customHeight="1" x14ac:dyDescent="0.25">
      <c r="A15" s="14" t="s">
        <v>1040</v>
      </c>
      <c r="B15" s="13" t="s">
        <v>215</v>
      </c>
      <c r="C15" s="13" t="s">
        <v>215</v>
      </c>
      <c r="D15" s="13" t="s">
        <v>215</v>
      </c>
      <c r="E15" s="13"/>
      <c r="F15" s="13" t="s">
        <v>215</v>
      </c>
      <c r="G15" s="13" t="s">
        <v>215</v>
      </c>
      <c r="H15" s="13"/>
      <c r="I15" s="13"/>
      <c r="J15" s="13"/>
      <c r="K15" s="13" t="s">
        <v>215</v>
      </c>
      <c r="L15" s="13"/>
      <c r="M15" s="13" t="s">
        <v>215</v>
      </c>
      <c r="N15" s="13" t="s">
        <v>215</v>
      </c>
      <c r="O15" s="13" t="s">
        <v>215</v>
      </c>
      <c r="P15" s="13"/>
      <c r="Q15" s="13" t="s">
        <v>215</v>
      </c>
      <c r="R15" s="13"/>
      <c r="S15" s="13" t="s">
        <v>215</v>
      </c>
      <c r="T15" s="13"/>
      <c r="U15" s="13"/>
      <c r="V15" s="13"/>
      <c r="W15" s="13"/>
      <c r="X15" s="13" t="s">
        <v>215</v>
      </c>
      <c r="Y15" s="13"/>
      <c r="Z15" s="13"/>
      <c r="AA15" s="17" t="s">
        <v>215</v>
      </c>
      <c r="AB15" s="13" t="s">
        <v>215</v>
      </c>
      <c r="AC15" s="13" t="s">
        <v>215</v>
      </c>
      <c r="AD15" s="13"/>
      <c r="AE15" s="13" t="s">
        <v>215</v>
      </c>
      <c r="AF15" t="s">
        <v>215</v>
      </c>
    </row>
    <row r="16" spans="1:32" ht="36" customHeight="1" x14ac:dyDescent="0.25">
      <c r="A16" s="14" t="s">
        <v>1041</v>
      </c>
      <c r="B16" s="13" t="s">
        <v>215</v>
      </c>
      <c r="C16" s="13" t="s">
        <v>215</v>
      </c>
      <c r="D16" s="13"/>
      <c r="E16" s="13"/>
      <c r="F16" s="13" t="s">
        <v>215</v>
      </c>
      <c r="G16" s="13" t="s">
        <v>215</v>
      </c>
      <c r="H16" s="13"/>
      <c r="I16" s="13"/>
      <c r="J16" s="13"/>
      <c r="K16" s="13" t="s">
        <v>215</v>
      </c>
      <c r="L16" s="13"/>
      <c r="M16" s="13"/>
      <c r="N16" s="13"/>
      <c r="O16" s="13" t="s">
        <v>215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215</v>
      </c>
      <c r="AB16" s="13"/>
      <c r="AC16" s="13"/>
      <c r="AD16" s="13"/>
      <c r="AE16" s="13"/>
      <c r="AF16" t="s">
        <v>215</v>
      </c>
    </row>
    <row r="17" spans="1:32" ht="36" customHeight="1" x14ac:dyDescent="0.25">
      <c r="A17" s="14" t="s">
        <v>1042</v>
      </c>
      <c r="B17" s="13" t="s">
        <v>215</v>
      </c>
      <c r="C17" s="13" t="s">
        <v>215</v>
      </c>
      <c r="D17" s="13"/>
      <c r="E17" s="13"/>
      <c r="F17" s="13" t="s">
        <v>215</v>
      </c>
      <c r="G17" s="13" t="s">
        <v>215</v>
      </c>
      <c r="H17" s="13"/>
      <c r="I17" s="13"/>
      <c r="J17" s="13"/>
      <c r="K17" s="13" t="s">
        <v>215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215</v>
      </c>
      <c r="AB17" s="13"/>
      <c r="AC17" s="13"/>
      <c r="AD17" s="13"/>
      <c r="AE17" s="13"/>
      <c r="AF17" t="s">
        <v>215</v>
      </c>
    </row>
    <row r="18" spans="1:32" ht="36" customHeight="1" x14ac:dyDescent="0.25">
      <c r="A18" s="14" t="s">
        <v>1043</v>
      </c>
      <c r="B18" s="13" t="s">
        <v>215</v>
      </c>
      <c r="C18" s="13" t="s">
        <v>215</v>
      </c>
      <c r="D18" s="13" t="s">
        <v>215</v>
      </c>
      <c r="E18" s="13" t="s">
        <v>215</v>
      </c>
      <c r="F18" s="13" t="s">
        <v>215</v>
      </c>
      <c r="G18" s="13" t="s">
        <v>1044</v>
      </c>
      <c r="H18" s="13" t="s">
        <v>215</v>
      </c>
      <c r="I18" s="13" t="s">
        <v>1045</v>
      </c>
      <c r="J18" s="13"/>
      <c r="K18" s="13" t="s">
        <v>215</v>
      </c>
      <c r="L18" s="13" t="s">
        <v>215</v>
      </c>
      <c r="M18" s="13" t="s">
        <v>215</v>
      </c>
      <c r="N18" s="13" t="s">
        <v>215</v>
      </c>
      <c r="O18" s="13" t="s">
        <v>215</v>
      </c>
      <c r="P18" s="13" t="s">
        <v>215</v>
      </c>
      <c r="Q18" s="13" t="s">
        <v>215</v>
      </c>
      <c r="R18" s="13"/>
      <c r="S18" s="13" t="s">
        <v>215</v>
      </c>
      <c r="T18" s="13"/>
      <c r="U18" s="13"/>
      <c r="V18" s="13"/>
      <c r="W18" s="13"/>
      <c r="X18" s="13" t="s">
        <v>215</v>
      </c>
      <c r="Y18" s="13" t="s">
        <v>215</v>
      </c>
      <c r="Z18" s="13" t="s">
        <v>215</v>
      </c>
      <c r="AA18" s="17" t="s">
        <v>215</v>
      </c>
      <c r="AB18" s="13" t="s">
        <v>215</v>
      </c>
      <c r="AC18" s="13" t="s">
        <v>215</v>
      </c>
      <c r="AD18" s="13" t="s">
        <v>215</v>
      </c>
      <c r="AE18" s="13" t="s">
        <v>215</v>
      </c>
      <c r="AF18" t="s">
        <v>215</v>
      </c>
    </row>
    <row r="19" spans="1:32" ht="36" customHeight="1" x14ac:dyDescent="0.25">
      <c r="A19" s="14" t="s">
        <v>1046</v>
      </c>
      <c r="B19" s="13" t="s">
        <v>215</v>
      </c>
      <c r="C19" s="13" t="s">
        <v>215</v>
      </c>
      <c r="D19" s="13"/>
      <c r="E19" s="13" t="s">
        <v>215</v>
      </c>
      <c r="F19" s="13" t="s">
        <v>215</v>
      </c>
      <c r="G19" s="13" t="s">
        <v>251</v>
      </c>
      <c r="H19" s="13" t="s">
        <v>215</v>
      </c>
      <c r="I19" s="13" t="s">
        <v>228</v>
      </c>
      <c r="J19" s="13"/>
      <c r="K19" s="13" t="s">
        <v>215</v>
      </c>
      <c r="L19" s="13" t="s">
        <v>215</v>
      </c>
      <c r="M19" s="13" t="s">
        <v>215</v>
      </c>
      <c r="N19" s="13" t="s">
        <v>215</v>
      </c>
      <c r="O19" s="13" t="s">
        <v>215</v>
      </c>
      <c r="P19" s="13" t="s">
        <v>215</v>
      </c>
      <c r="Q19" s="13" t="s">
        <v>215</v>
      </c>
      <c r="R19" s="13"/>
      <c r="S19" s="13" t="s">
        <v>215</v>
      </c>
      <c r="T19" s="13"/>
      <c r="U19" s="13"/>
      <c r="V19" s="13"/>
      <c r="W19" s="13"/>
      <c r="X19" s="13"/>
      <c r="Y19" s="13"/>
      <c r="Z19" s="13"/>
      <c r="AA19" s="17" t="s">
        <v>1047</v>
      </c>
      <c r="AB19" s="13" t="s">
        <v>215</v>
      </c>
      <c r="AC19" s="13" t="s">
        <v>215</v>
      </c>
      <c r="AD19" s="13" t="s">
        <v>215</v>
      </c>
      <c r="AE19" s="13"/>
      <c r="AF19" t="s">
        <v>215</v>
      </c>
    </row>
    <row r="20" spans="1:32" ht="36" customHeight="1" x14ac:dyDescent="0.25">
      <c r="A20" s="14" t="s">
        <v>1048</v>
      </c>
      <c r="B20" s="13" t="s">
        <v>1049</v>
      </c>
      <c r="C20" s="13" t="s">
        <v>215</v>
      </c>
      <c r="D20" s="13" t="s">
        <v>215</v>
      </c>
      <c r="E20" s="13" t="s">
        <v>215</v>
      </c>
      <c r="F20" s="13" t="s">
        <v>215</v>
      </c>
      <c r="G20" s="13" t="s">
        <v>251</v>
      </c>
      <c r="H20" s="13" t="s">
        <v>1050</v>
      </c>
      <c r="I20" s="13" t="s">
        <v>228</v>
      </c>
      <c r="J20" s="13"/>
      <c r="K20" s="13" t="s">
        <v>215</v>
      </c>
      <c r="L20" s="13" t="s">
        <v>215</v>
      </c>
      <c r="M20" s="13" t="s">
        <v>215</v>
      </c>
      <c r="N20" s="13" t="s">
        <v>215</v>
      </c>
      <c r="O20" s="13" t="s">
        <v>215</v>
      </c>
      <c r="P20" s="13" t="s">
        <v>215</v>
      </c>
      <c r="Q20" s="13" t="s">
        <v>215</v>
      </c>
      <c r="R20" s="13"/>
      <c r="S20" s="13" t="s">
        <v>215</v>
      </c>
      <c r="T20" s="13"/>
      <c r="U20" s="13"/>
      <c r="V20" s="13"/>
      <c r="W20" s="13"/>
      <c r="X20" s="13"/>
      <c r="Y20" s="13"/>
      <c r="Z20" s="13" t="s">
        <v>215</v>
      </c>
      <c r="AA20" s="17" t="s">
        <v>215</v>
      </c>
      <c r="AB20" s="13" t="s">
        <v>215</v>
      </c>
      <c r="AC20" s="13" t="s">
        <v>215</v>
      </c>
      <c r="AD20" s="13" t="s">
        <v>215</v>
      </c>
      <c r="AE20" s="13" t="s">
        <v>215</v>
      </c>
      <c r="AF20" t="s">
        <v>1051</v>
      </c>
    </row>
    <row r="21" spans="1:32" ht="36" customHeight="1" x14ac:dyDescent="0.25">
      <c r="A21" s="14" t="s">
        <v>1052</v>
      </c>
      <c r="B21" s="13" t="s">
        <v>215</v>
      </c>
      <c r="C21" s="13" t="s">
        <v>215</v>
      </c>
      <c r="D21" s="13"/>
      <c r="E21" s="13"/>
      <c r="F21" s="13" t="s">
        <v>215</v>
      </c>
      <c r="G21" s="13" t="s">
        <v>215</v>
      </c>
      <c r="H21" s="13"/>
      <c r="I21" s="13"/>
      <c r="J21" s="13"/>
      <c r="K21" s="13" t="s">
        <v>215</v>
      </c>
      <c r="L21" s="13"/>
      <c r="M21" s="13"/>
      <c r="N21" s="13"/>
      <c r="O21" s="13" t="s">
        <v>215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215</v>
      </c>
      <c r="AB21" s="13"/>
      <c r="AC21" s="13"/>
      <c r="AD21" s="13"/>
      <c r="AE21" s="13"/>
      <c r="AF21" t="s">
        <v>215</v>
      </c>
    </row>
    <row r="22" spans="1:32" ht="23.1" customHeight="1" x14ac:dyDescent="0.25">
      <c r="A22" s="15" t="s">
        <v>1053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5"/>
      <c r="AC22" s="15"/>
      <c r="AD22" s="15"/>
      <c r="AE22" s="15"/>
    </row>
    <row r="23" spans="1:32" ht="36" customHeight="1" x14ac:dyDescent="0.25">
      <c r="A23" s="14" t="s">
        <v>103</v>
      </c>
      <c r="B23" s="13" t="s">
        <v>104</v>
      </c>
      <c r="C23" s="13" t="s">
        <v>105</v>
      </c>
      <c r="D23" s="13" t="s">
        <v>106</v>
      </c>
      <c r="E23" s="13" t="s">
        <v>107</v>
      </c>
      <c r="F23" s="13"/>
      <c r="G23" s="13" t="s">
        <v>108</v>
      </c>
      <c r="H23" s="13" t="s">
        <v>109</v>
      </c>
      <c r="I23" s="13" t="s">
        <v>110</v>
      </c>
      <c r="J23" s="13" t="s">
        <v>111</v>
      </c>
      <c r="K23" s="13" t="s">
        <v>112</v>
      </c>
      <c r="L23" s="13" t="s">
        <v>113</v>
      </c>
      <c r="M23" s="13" t="s">
        <v>113</v>
      </c>
      <c r="N23" s="13" t="s">
        <v>114</v>
      </c>
      <c r="O23" s="13"/>
      <c r="P23" s="13" t="s">
        <v>115</v>
      </c>
      <c r="Q23" s="13" t="s">
        <v>116</v>
      </c>
      <c r="R23" s="13" t="s">
        <v>117</v>
      </c>
      <c r="S23" s="13"/>
      <c r="T23" s="13"/>
      <c r="U23" s="13" t="s">
        <v>116</v>
      </c>
      <c r="V23" s="13" t="s">
        <v>118</v>
      </c>
      <c r="W23" s="13"/>
      <c r="X23" s="13" t="s">
        <v>116</v>
      </c>
      <c r="Y23" s="13" t="s">
        <v>119</v>
      </c>
      <c r="Z23" s="13" t="s">
        <v>120</v>
      </c>
      <c r="AA23" s="17" t="s">
        <v>121</v>
      </c>
      <c r="AB23" s="13" t="s">
        <v>121</v>
      </c>
      <c r="AC23" s="13" t="s">
        <v>121</v>
      </c>
      <c r="AD23" s="13"/>
      <c r="AE23" s="13" t="s">
        <v>122</v>
      </c>
      <c r="AF23" t="s">
        <v>123</v>
      </c>
    </row>
    <row r="24" spans="1:32" ht="36" customHeight="1" x14ac:dyDescent="0.25">
      <c r="A24" s="14" t="s">
        <v>1054</v>
      </c>
      <c r="B24" s="13" t="s">
        <v>1055</v>
      </c>
      <c r="C24" s="13"/>
      <c r="D24" s="13" t="s">
        <v>1056</v>
      </c>
      <c r="E24" s="13" t="s">
        <v>1057</v>
      </c>
      <c r="F24" s="13"/>
      <c r="G24" s="13" t="s">
        <v>1058</v>
      </c>
      <c r="H24" s="13"/>
      <c r="I24" s="13"/>
      <c r="J24" s="13" t="s">
        <v>1059</v>
      </c>
      <c r="K24" s="13" t="s">
        <v>1060</v>
      </c>
      <c r="L24" s="13" t="s">
        <v>113</v>
      </c>
      <c r="M24" s="13" t="s">
        <v>113</v>
      </c>
      <c r="N24" s="13" t="s">
        <v>1061</v>
      </c>
      <c r="O24" s="13"/>
      <c r="P24" s="13" t="s">
        <v>1062</v>
      </c>
      <c r="Q24" s="13" t="s">
        <v>1063</v>
      </c>
      <c r="R24" s="13" t="s">
        <v>1064</v>
      </c>
      <c r="S24" s="13"/>
      <c r="T24" s="13" t="s">
        <v>1065</v>
      </c>
      <c r="U24" s="13" t="s">
        <v>1066</v>
      </c>
      <c r="V24" s="13" t="s">
        <v>1067</v>
      </c>
      <c r="W24" s="13" t="s">
        <v>1068</v>
      </c>
      <c r="X24" s="13" t="s">
        <v>1069</v>
      </c>
      <c r="Y24" s="13" t="s">
        <v>1070</v>
      </c>
      <c r="Z24" s="13" t="s">
        <v>1071</v>
      </c>
      <c r="AA24" s="17" t="s">
        <v>5828</v>
      </c>
      <c r="AB24" s="13" t="s">
        <v>1073</v>
      </c>
      <c r="AC24" s="13" t="s">
        <v>1072</v>
      </c>
      <c r="AD24" s="13" t="s">
        <v>1074</v>
      </c>
      <c r="AE24" s="13" t="s">
        <v>1073</v>
      </c>
      <c r="AF24" t="s">
        <v>1075</v>
      </c>
    </row>
    <row r="25" spans="1:32" ht="36" customHeight="1" x14ac:dyDescent="0.25">
      <c r="A25" s="14" t="s">
        <v>1076</v>
      </c>
      <c r="B25" s="13" t="s">
        <v>125</v>
      </c>
      <c r="C25" s="13" t="s">
        <v>126</v>
      </c>
      <c r="D25" s="13" t="s">
        <v>127</v>
      </c>
      <c r="E25" s="13" t="s">
        <v>128</v>
      </c>
      <c r="F25" s="13" t="s">
        <v>129</v>
      </c>
      <c r="G25" s="13" t="s">
        <v>130</v>
      </c>
      <c r="H25" s="13" t="s">
        <v>131</v>
      </c>
      <c r="I25" s="13" t="s">
        <v>125</v>
      </c>
      <c r="J25" s="13" t="s">
        <v>132</v>
      </c>
      <c r="K25" s="13" t="s">
        <v>125</v>
      </c>
      <c r="L25" s="13" t="s">
        <v>125</v>
      </c>
      <c r="M25" s="13" t="s">
        <v>125</v>
      </c>
      <c r="N25" s="13" t="s">
        <v>133</v>
      </c>
      <c r="O25" s="13" t="s">
        <v>134</v>
      </c>
      <c r="P25" s="13" t="s">
        <v>128</v>
      </c>
      <c r="Q25" s="13" t="s">
        <v>133</v>
      </c>
      <c r="R25" s="13" t="s">
        <v>135</v>
      </c>
      <c r="S25" s="13" t="s">
        <v>134</v>
      </c>
      <c r="T25" s="13" t="s">
        <v>127</v>
      </c>
      <c r="U25" s="13" t="s">
        <v>129</v>
      </c>
      <c r="V25" s="13" t="s">
        <v>136</v>
      </c>
      <c r="W25" s="13" t="s">
        <v>137</v>
      </c>
      <c r="X25" s="13" t="s">
        <v>138</v>
      </c>
      <c r="Y25" s="13" t="s">
        <v>135</v>
      </c>
      <c r="Z25" s="13" t="s">
        <v>138</v>
      </c>
      <c r="AA25" s="17" t="s">
        <v>134</v>
      </c>
      <c r="AB25" s="13" t="s">
        <v>129</v>
      </c>
      <c r="AC25" s="13" t="s">
        <v>139</v>
      </c>
      <c r="AD25" s="13" t="s">
        <v>127</v>
      </c>
      <c r="AE25" s="13" t="s">
        <v>128</v>
      </c>
      <c r="AF25" t="s">
        <v>140</v>
      </c>
    </row>
    <row r="26" spans="1:32" ht="36" customHeight="1" x14ac:dyDescent="0.25">
      <c r="A26" s="14" t="s">
        <v>1077</v>
      </c>
      <c r="B26" s="13" t="s">
        <v>1078</v>
      </c>
      <c r="C26" s="13" t="s">
        <v>1079</v>
      </c>
      <c r="D26" s="13" t="s">
        <v>1080</v>
      </c>
      <c r="E26" s="13" t="s">
        <v>1079</v>
      </c>
      <c r="F26" s="13" t="s">
        <v>1079</v>
      </c>
      <c r="G26" s="13" t="s">
        <v>1081</v>
      </c>
      <c r="H26" s="13" t="s">
        <v>1079</v>
      </c>
      <c r="I26" s="13" t="s">
        <v>1079</v>
      </c>
      <c r="J26" s="13" t="s">
        <v>1079</v>
      </c>
      <c r="K26" s="13" t="s">
        <v>1079</v>
      </c>
      <c r="L26" s="13" t="s">
        <v>1079</v>
      </c>
      <c r="M26" s="13" t="s">
        <v>1079</v>
      </c>
      <c r="N26" s="13" t="s">
        <v>1079</v>
      </c>
      <c r="O26" s="13" t="s">
        <v>1079</v>
      </c>
      <c r="P26" s="13" t="s">
        <v>1079</v>
      </c>
      <c r="Q26" s="13" t="s">
        <v>1079</v>
      </c>
      <c r="R26" s="13" t="s">
        <v>1082</v>
      </c>
      <c r="S26" s="13" t="s">
        <v>1079</v>
      </c>
      <c r="T26" s="13" t="s">
        <v>1079</v>
      </c>
      <c r="U26" s="13" t="s">
        <v>1079</v>
      </c>
      <c r="V26" s="13" t="s">
        <v>1079</v>
      </c>
      <c r="W26" s="13" t="s">
        <v>1079</v>
      </c>
      <c r="X26" s="13" t="s">
        <v>1079</v>
      </c>
      <c r="Y26" s="13" t="s">
        <v>1079</v>
      </c>
      <c r="Z26" s="13" t="s">
        <v>1079</v>
      </c>
      <c r="AA26" s="17" t="s">
        <v>1079</v>
      </c>
      <c r="AB26" s="13" t="s">
        <v>1079</v>
      </c>
      <c r="AC26" s="13" t="s">
        <v>1079</v>
      </c>
      <c r="AD26" s="13" t="s">
        <v>1079</v>
      </c>
      <c r="AE26" s="13" t="s">
        <v>1079</v>
      </c>
      <c r="AF26" t="s">
        <v>1083</v>
      </c>
    </row>
    <row r="27" spans="1:32" ht="36" customHeight="1" x14ac:dyDescent="0.25">
      <c r="A27" s="14" t="s">
        <v>1084</v>
      </c>
      <c r="B27" s="13"/>
      <c r="C27" s="13"/>
      <c r="D27" s="13" t="s">
        <v>1085</v>
      </c>
      <c r="E27" s="13"/>
      <c r="F27" s="13"/>
      <c r="G27" s="13" t="s">
        <v>1086</v>
      </c>
      <c r="H27" s="13"/>
      <c r="I27" s="13" t="s">
        <v>1087</v>
      </c>
      <c r="J27" s="13" t="s">
        <v>1088</v>
      </c>
      <c r="K27" s="13" t="s">
        <v>1089</v>
      </c>
      <c r="L27" s="13" t="s">
        <v>1090</v>
      </c>
      <c r="M27" s="13" t="s">
        <v>1091</v>
      </c>
      <c r="N27" s="13" t="s">
        <v>1092</v>
      </c>
      <c r="O27" s="13" t="s">
        <v>1093</v>
      </c>
      <c r="P27" s="13" t="s">
        <v>1094</v>
      </c>
      <c r="Q27" s="13" t="s">
        <v>1095</v>
      </c>
      <c r="R27" s="13" t="s">
        <v>1096</v>
      </c>
      <c r="S27" s="13" t="s">
        <v>1097</v>
      </c>
      <c r="T27" s="13" t="s">
        <v>1095</v>
      </c>
      <c r="U27" s="13" t="s">
        <v>1098</v>
      </c>
      <c r="V27" s="13" t="s">
        <v>1099</v>
      </c>
      <c r="W27" s="13" t="s">
        <v>1100</v>
      </c>
      <c r="X27" s="13" t="s">
        <v>1100</v>
      </c>
      <c r="Y27" s="13" t="s">
        <v>1101</v>
      </c>
      <c r="Z27" s="13" t="s">
        <v>1102</v>
      </c>
      <c r="AA27" s="17" t="s">
        <v>1103</v>
      </c>
      <c r="AB27" s="13" t="s">
        <v>1104</v>
      </c>
      <c r="AC27" s="13" t="s">
        <v>1105</v>
      </c>
      <c r="AD27" s="13" t="s">
        <v>1106</v>
      </c>
      <c r="AE27" s="13" t="s">
        <v>1101</v>
      </c>
      <c r="AF27" t="s">
        <v>1107</v>
      </c>
    </row>
  </sheetData>
  <mergeCells count="1">
    <mergeCell ref="A1:A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workbookViewId="0">
      <pane xSplit="2" ySplit="2" topLeftCell="AA12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Directory'!A1","Basic Features — expanded day-to-day messaging and identity features"),"Basic Features — expanded day-to-day messaging and identity features")</f>
        <v>Basic Features — expanded day-to-day messaging and identity features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1108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1109</v>
      </c>
      <c r="B4" s="13" t="s">
        <v>1049</v>
      </c>
      <c r="C4" s="13" t="s">
        <v>215</v>
      </c>
      <c r="D4" s="13" t="s">
        <v>215</v>
      </c>
      <c r="E4" s="13" t="s">
        <v>215</v>
      </c>
      <c r="F4" s="13" t="s">
        <v>215</v>
      </c>
      <c r="G4" s="13" t="s">
        <v>251</v>
      </c>
      <c r="H4" s="13" t="s">
        <v>1050</v>
      </c>
      <c r="I4" s="13" t="s">
        <v>228</v>
      </c>
      <c r="J4" s="13"/>
      <c r="K4" s="13" t="s">
        <v>215</v>
      </c>
      <c r="L4" s="13" t="s">
        <v>215</v>
      </c>
      <c r="M4" s="13" t="s">
        <v>215</v>
      </c>
      <c r="N4" s="13" t="s">
        <v>215</v>
      </c>
      <c r="O4" s="13" t="s">
        <v>215</v>
      </c>
      <c r="P4" s="13" t="s">
        <v>215</v>
      </c>
      <c r="Q4" s="13" t="s">
        <v>215</v>
      </c>
      <c r="R4" s="13"/>
      <c r="S4" s="13" t="s">
        <v>215</v>
      </c>
      <c r="T4" s="13"/>
      <c r="U4" s="13"/>
      <c r="V4" s="13"/>
      <c r="W4" s="13"/>
      <c r="X4" s="13"/>
      <c r="Y4" s="13"/>
      <c r="Z4" s="13" t="s">
        <v>215</v>
      </c>
      <c r="AA4" s="17" t="s">
        <v>215</v>
      </c>
      <c r="AB4" s="13" t="s">
        <v>215</v>
      </c>
      <c r="AC4" s="13" t="s">
        <v>215</v>
      </c>
      <c r="AD4" s="13" t="s">
        <v>215</v>
      </c>
      <c r="AE4" s="13" t="s">
        <v>215</v>
      </c>
      <c r="AF4" t="s">
        <v>215</v>
      </c>
    </row>
    <row r="5" spans="1:32" ht="36" customHeight="1" x14ac:dyDescent="0.25">
      <c r="A5" s="14" t="s">
        <v>1110</v>
      </c>
      <c r="B5" s="13" t="s">
        <v>215</v>
      </c>
      <c r="C5" s="13" t="s">
        <v>215</v>
      </c>
      <c r="D5" s="13" t="s">
        <v>215</v>
      </c>
      <c r="E5" s="13" t="s">
        <v>215</v>
      </c>
      <c r="F5" s="13" t="s">
        <v>215</v>
      </c>
      <c r="G5" s="13" t="s">
        <v>251</v>
      </c>
      <c r="H5" s="13" t="s">
        <v>1050</v>
      </c>
      <c r="I5" s="13" t="s">
        <v>228</v>
      </c>
      <c r="J5" s="13"/>
      <c r="K5" s="13" t="s">
        <v>215</v>
      </c>
      <c r="L5" s="13" t="s">
        <v>215</v>
      </c>
      <c r="M5" s="13" t="s">
        <v>215</v>
      </c>
      <c r="N5" s="13"/>
      <c r="O5" s="13" t="s">
        <v>215</v>
      </c>
      <c r="P5" s="13" t="s">
        <v>215</v>
      </c>
      <c r="Q5" s="13" t="s">
        <v>215</v>
      </c>
      <c r="R5" s="13"/>
      <c r="S5" s="13" t="s">
        <v>215</v>
      </c>
      <c r="T5" s="13"/>
      <c r="U5" s="13"/>
      <c r="V5" s="13"/>
      <c r="W5" s="13"/>
      <c r="X5" s="13"/>
      <c r="Y5" s="13"/>
      <c r="Z5" s="13"/>
      <c r="AA5" s="17" t="s">
        <v>215</v>
      </c>
      <c r="AB5" s="13" t="s">
        <v>215</v>
      </c>
      <c r="AC5" s="13" t="s">
        <v>215</v>
      </c>
      <c r="AD5" s="13"/>
      <c r="AE5" s="13" t="s">
        <v>215</v>
      </c>
      <c r="AF5" t="s">
        <v>215</v>
      </c>
    </row>
    <row r="6" spans="1:32" ht="36" customHeight="1" x14ac:dyDescent="0.25">
      <c r="A6" s="14" t="s">
        <v>1111</v>
      </c>
      <c r="B6" s="13" t="s">
        <v>215</v>
      </c>
      <c r="C6" s="13"/>
      <c r="D6" s="13"/>
      <c r="E6" s="13"/>
      <c r="F6" s="13"/>
      <c r="G6" s="13" t="s">
        <v>251</v>
      </c>
      <c r="H6" s="13"/>
      <c r="I6" s="13"/>
      <c r="J6" s="13"/>
      <c r="K6" s="13" t="s">
        <v>215</v>
      </c>
      <c r="L6" s="13" t="s">
        <v>215</v>
      </c>
      <c r="M6" s="13" t="s">
        <v>215</v>
      </c>
      <c r="N6" s="13"/>
      <c r="O6" s="13"/>
      <c r="P6" s="13"/>
      <c r="Q6" s="13" t="s">
        <v>215</v>
      </c>
      <c r="R6" s="13"/>
      <c r="S6" s="13"/>
      <c r="T6" s="13"/>
      <c r="U6" s="13"/>
      <c r="V6" s="13"/>
      <c r="W6" s="13"/>
      <c r="X6" s="13"/>
      <c r="Y6" s="13"/>
      <c r="Z6" s="13"/>
      <c r="AA6" s="17" t="s">
        <v>215</v>
      </c>
      <c r="AB6" s="13" t="s">
        <v>215</v>
      </c>
      <c r="AC6" s="13"/>
      <c r="AD6" s="13"/>
      <c r="AE6" s="13"/>
      <c r="AF6" t="s">
        <v>215</v>
      </c>
    </row>
    <row r="7" spans="1:32" ht="23.1" customHeight="1" x14ac:dyDescent="0.25">
      <c r="A7" s="15" t="s">
        <v>1112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5"/>
      <c r="AC7" s="15"/>
      <c r="AD7" s="15"/>
      <c r="AE7" s="15"/>
    </row>
    <row r="8" spans="1:32" ht="36" customHeight="1" x14ac:dyDescent="0.25">
      <c r="A8" s="14" t="s">
        <v>1040</v>
      </c>
      <c r="B8" s="13" t="s">
        <v>215</v>
      </c>
      <c r="C8" s="13" t="s">
        <v>215</v>
      </c>
      <c r="D8" s="13" t="s">
        <v>215</v>
      </c>
      <c r="E8" s="13"/>
      <c r="F8" s="13" t="s">
        <v>215</v>
      </c>
      <c r="G8" s="13" t="s">
        <v>215</v>
      </c>
      <c r="H8" s="13"/>
      <c r="I8" s="13"/>
      <c r="J8" s="13"/>
      <c r="K8" s="13" t="s">
        <v>215</v>
      </c>
      <c r="L8" s="13"/>
      <c r="M8" s="13" t="s">
        <v>215</v>
      </c>
      <c r="N8" s="13" t="s">
        <v>215</v>
      </c>
      <c r="O8" s="13" t="s">
        <v>215</v>
      </c>
      <c r="P8" s="13"/>
      <c r="Q8" s="13" t="s">
        <v>215</v>
      </c>
      <c r="R8" s="13"/>
      <c r="S8" s="13" t="s">
        <v>215</v>
      </c>
      <c r="T8" s="13"/>
      <c r="U8" s="13"/>
      <c r="V8" s="13"/>
      <c r="W8" s="13"/>
      <c r="X8" s="13" t="s">
        <v>215</v>
      </c>
      <c r="Y8" s="13"/>
      <c r="Z8" s="13"/>
      <c r="AA8" s="17" t="s">
        <v>215</v>
      </c>
      <c r="AB8" s="13" t="s">
        <v>215</v>
      </c>
      <c r="AC8" s="13" t="s">
        <v>215</v>
      </c>
      <c r="AD8" s="13"/>
      <c r="AE8" s="13" t="s">
        <v>215</v>
      </c>
      <c r="AF8" t="s">
        <v>215</v>
      </c>
    </row>
    <row r="9" spans="1:32" ht="36" customHeight="1" x14ac:dyDescent="0.25">
      <c r="A9" s="14" t="s">
        <v>1043</v>
      </c>
      <c r="B9" s="13" t="s">
        <v>215</v>
      </c>
      <c r="C9" s="13" t="s">
        <v>215</v>
      </c>
      <c r="D9" s="13" t="s">
        <v>215</v>
      </c>
      <c r="E9" s="13" t="s">
        <v>215</v>
      </c>
      <c r="F9" s="13" t="s">
        <v>215</v>
      </c>
      <c r="G9" s="13" t="s">
        <v>1044</v>
      </c>
      <c r="H9" s="13" t="s">
        <v>215</v>
      </c>
      <c r="I9" s="13" t="s">
        <v>1045</v>
      </c>
      <c r="J9" s="13"/>
      <c r="K9" s="13" t="s">
        <v>215</v>
      </c>
      <c r="L9" s="13" t="s">
        <v>215</v>
      </c>
      <c r="M9" s="13" t="s">
        <v>215</v>
      </c>
      <c r="N9" s="13" t="s">
        <v>215</v>
      </c>
      <c r="O9" s="13" t="s">
        <v>215</v>
      </c>
      <c r="P9" s="13" t="s">
        <v>215</v>
      </c>
      <c r="Q9" s="13" t="s">
        <v>215</v>
      </c>
      <c r="R9" s="13"/>
      <c r="S9" s="13" t="s">
        <v>215</v>
      </c>
      <c r="T9" s="13"/>
      <c r="U9" s="13"/>
      <c r="V9" s="13"/>
      <c r="W9" s="13"/>
      <c r="X9" s="13" t="s">
        <v>215</v>
      </c>
      <c r="Y9" s="13" t="s">
        <v>215</v>
      </c>
      <c r="Z9" s="13" t="s">
        <v>215</v>
      </c>
      <c r="AA9" s="17" t="s">
        <v>215</v>
      </c>
      <c r="AB9" s="13" t="s">
        <v>215</v>
      </c>
      <c r="AC9" s="13" t="s">
        <v>215</v>
      </c>
      <c r="AD9" s="13" t="s">
        <v>215</v>
      </c>
      <c r="AE9" s="13" t="s">
        <v>215</v>
      </c>
      <c r="AF9" t="s">
        <v>215</v>
      </c>
    </row>
    <row r="10" spans="1:32" ht="36" customHeight="1" x14ac:dyDescent="0.25">
      <c r="A10" s="14" t="s">
        <v>1041</v>
      </c>
      <c r="B10" s="13" t="s">
        <v>215</v>
      </c>
      <c r="C10" s="13" t="s">
        <v>215</v>
      </c>
      <c r="D10" s="13"/>
      <c r="E10" s="13"/>
      <c r="F10" s="13" t="s">
        <v>215</v>
      </c>
      <c r="G10" s="13" t="s">
        <v>215</v>
      </c>
      <c r="H10" s="13"/>
      <c r="I10" s="13"/>
      <c r="J10" s="13"/>
      <c r="K10" s="13" t="s">
        <v>215</v>
      </c>
      <c r="L10" s="13"/>
      <c r="M10" s="13"/>
      <c r="N10" s="13"/>
      <c r="O10" s="13" t="s">
        <v>215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215</v>
      </c>
      <c r="AB10" s="13"/>
      <c r="AC10" s="13"/>
      <c r="AD10" s="13"/>
      <c r="AE10" s="13"/>
      <c r="AF10" t="s">
        <v>215</v>
      </c>
    </row>
    <row r="11" spans="1:32" ht="36" customHeight="1" x14ac:dyDescent="0.25">
      <c r="A11" s="14" t="s">
        <v>1042</v>
      </c>
      <c r="B11" s="13" t="s">
        <v>215</v>
      </c>
      <c r="C11" s="13" t="s">
        <v>215</v>
      </c>
      <c r="D11" s="13"/>
      <c r="E11" s="13"/>
      <c r="F11" s="13" t="s">
        <v>215</v>
      </c>
      <c r="G11" s="13" t="s">
        <v>215</v>
      </c>
      <c r="H11" s="13"/>
      <c r="I11" s="13"/>
      <c r="J11" s="13"/>
      <c r="K11" s="13" t="s">
        <v>215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215</v>
      </c>
      <c r="AB11" s="13"/>
      <c r="AC11" s="13"/>
      <c r="AD11" s="13"/>
      <c r="AE11" s="13"/>
      <c r="AF11" t="s">
        <v>215</v>
      </c>
    </row>
    <row r="12" spans="1:32" ht="36" customHeight="1" x14ac:dyDescent="0.25">
      <c r="A12" s="14" t="s">
        <v>1113</v>
      </c>
      <c r="B12" s="13" t="s">
        <v>215</v>
      </c>
      <c r="C12" s="13"/>
      <c r="D12" s="13"/>
      <c r="E12" s="13"/>
      <c r="F12" s="13"/>
      <c r="G12" s="13" t="s">
        <v>251</v>
      </c>
      <c r="H12" s="13"/>
      <c r="I12" s="13"/>
      <c r="J12" s="13"/>
      <c r="K12" s="13" t="s">
        <v>215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215</v>
      </c>
      <c r="AB12" s="13"/>
      <c r="AC12" s="13"/>
      <c r="AD12" s="13"/>
      <c r="AE12" s="13"/>
      <c r="AF12" t="s">
        <v>215</v>
      </c>
    </row>
    <row r="13" spans="1:32" ht="36" customHeight="1" x14ac:dyDescent="0.25">
      <c r="A13" s="14" t="s">
        <v>1114</v>
      </c>
      <c r="B13" s="13" t="s">
        <v>215</v>
      </c>
      <c r="C13" s="13"/>
      <c r="D13" s="13"/>
      <c r="E13" s="13"/>
      <c r="F13" s="13"/>
      <c r="G13" s="13" t="s">
        <v>251</v>
      </c>
      <c r="H13" s="13"/>
      <c r="I13" s="13"/>
      <c r="J13" s="13"/>
      <c r="K13" s="13" t="s">
        <v>215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7" t="s">
        <v>215</v>
      </c>
      <c r="AB13" s="13"/>
      <c r="AC13" s="13"/>
      <c r="AD13" s="13"/>
      <c r="AE13" s="13"/>
      <c r="AF13" t="s">
        <v>215</v>
      </c>
    </row>
    <row r="14" spans="1:32" ht="36" customHeight="1" x14ac:dyDescent="0.25">
      <c r="A14" s="14" t="s">
        <v>1115</v>
      </c>
      <c r="B14" s="13" t="s">
        <v>215</v>
      </c>
      <c r="C14" s="13"/>
      <c r="D14" s="13"/>
      <c r="E14" s="13"/>
      <c r="F14" s="13"/>
      <c r="G14" s="13" t="s">
        <v>251</v>
      </c>
      <c r="H14" s="13"/>
      <c r="I14" s="13"/>
      <c r="J14" s="13"/>
      <c r="K14" s="13"/>
      <c r="L14" s="13"/>
      <c r="M14" s="13"/>
      <c r="N14" s="13"/>
      <c r="O14" s="13"/>
      <c r="P14" s="13" t="s">
        <v>215</v>
      </c>
      <c r="Q14" s="13" t="s">
        <v>1116</v>
      </c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215</v>
      </c>
      <c r="AB14" s="13"/>
      <c r="AC14" s="13"/>
      <c r="AD14" s="13"/>
      <c r="AE14" s="13"/>
      <c r="AF14" t="s">
        <v>1117</v>
      </c>
    </row>
    <row r="15" spans="1:32" ht="23.1" customHeight="1" x14ac:dyDescent="0.25">
      <c r="A15" s="15" t="s">
        <v>1118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5"/>
      <c r="AC15" s="15"/>
      <c r="AD15" s="15"/>
      <c r="AE15" s="15"/>
    </row>
    <row r="16" spans="1:32" ht="36" customHeight="1" x14ac:dyDescent="0.25">
      <c r="A16" s="14" t="s">
        <v>1119</v>
      </c>
      <c r="B16" s="13" t="s">
        <v>215</v>
      </c>
      <c r="C16" s="13" t="s">
        <v>215</v>
      </c>
      <c r="D16" s="13" t="s">
        <v>215</v>
      </c>
      <c r="E16" s="13" t="s">
        <v>215</v>
      </c>
      <c r="F16" s="13" t="s">
        <v>215</v>
      </c>
      <c r="G16" s="13" t="s">
        <v>251</v>
      </c>
      <c r="H16" s="13" t="s">
        <v>215</v>
      </c>
      <c r="I16" s="13" t="s">
        <v>228</v>
      </c>
      <c r="J16" s="13" t="s">
        <v>215</v>
      </c>
      <c r="K16" s="13" t="s">
        <v>215</v>
      </c>
      <c r="L16" s="13" t="s">
        <v>215</v>
      </c>
      <c r="M16" s="13" t="s">
        <v>215</v>
      </c>
      <c r="N16" s="13" t="s">
        <v>215</v>
      </c>
      <c r="O16" s="13" t="s">
        <v>215</v>
      </c>
      <c r="P16" s="13" t="s">
        <v>215</v>
      </c>
      <c r="Q16" s="13" t="s">
        <v>215</v>
      </c>
      <c r="R16" s="13"/>
      <c r="S16" s="13" t="s">
        <v>215</v>
      </c>
      <c r="T16" s="13" t="s">
        <v>215</v>
      </c>
      <c r="U16" s="13"/>
      <c r="V16" s="13" t="s">
        <v>215</v>
      </c>
      <c r="W16" s="13"/>
      <c r="X16" s="13"/>
      <c r="Y16" s="13"/>
      <c r="Z16" s="13" t="s">
        <v>215</v>
      </c>
      <c r="AA16" s="17" t="s">
        <v>215</v>
      </c>
      <c r="AB16" s="13" t="s">
        <v>215</v>
      </c>
      <c r="AC16" s="13" t="s">
        <v>215</v>
      </c>
      <c r="AD16" s="13" t="s">
        <v>215</v>
      </c>
      <c r="AE16" s="13" t="s">
        <v>215</v>
      </c>
      <c r="AF16" t="s">
        <v>215</v>
      </c>
    </row>
    <row r="17" spans="1:32" ht="36" customHeight="1" x14ac:dyDescent="0.25">
      <c r="A17" s="14" t="s">
        <v>1120</v>
      </c>
      <c r="B17" s="13" t="s">
        <v>215</v>
      </c>
      <c r="C17" s="13" t="s">
        <v>215</v>
      </c>
      <c r="D17" s="13" t="s">
        <v>215</v>
      </c>
      <c r="E17" s="13" t="s">
        <v>215</v>
      </c>
      <c r="F17" s="13" t="s">
        <v>215</v>
      </c>
      <c r="G17" s="13" t="s">
        <v>251</v>
      </c>
      <c r="H17" s="13" t="s">
        <v>215</v>
      </c>
      <c r="I17" s="13" t="s">
        <v>228</v>
      </c>
      <c r="J17" s="13"/>
      <c r="K17" s="13" t="s">
        <v>215</v>
      </c>
      <c r="L17" s="13" t="s">
        <v>1121</v>
      </c>
      <c r="M17" s="13" t="s">
        <v>215</v>
      </c>
      <c r="N17" s="13" t="s">
        <v>215</v>
      </c>
      <c r="O17" s="13" t="s">
        <v>215</v>
      </c>
      <c r="P17" s="13" t="s">
        <v>215</v>
      </c>
      <c r="Q17" s="13" t="s">
        <v>215</v>
      </c>
      <c r="R17" s="13"/>
      <c r="S17" s="13" t="s">
        <v>215</v>
      </c>
      <c r="T17" s="13"/>
      <c r="U17" s="13"/>
      <c r="V17" s="13" t="s">
        <v>215</v>
      </c>
      <c r="W17" s="13"/>
      <c r="X17" s="13"/>
      <c r="Y17" s="13"/>
      <c r="Z17" s="13"/>
      <c r="AA17" s="17" t="s">
        <v>215</v>
      </c>
      <c r="AB17" s="13" t="s">
        <v>215</v>
      </c>
      <c r="AC17" s="13" t="s">
        <v>215</v>
      </c>
      <c r="AD17" s="13" t="s">
        <v>215</v>
      </c>
      <c r="AE17" s="13"/>
      <c r="AF17" t="s">
        <v>215</v>
      </c>
    </row>
    <row r="18" spans="1:32" ht="36" customHeight="1" x14ac:dyDescent="0.25">
      <c r="A18" s="14" t="s">
        <v>1122</v>
      </c>
      <c r="B18" s="13" t="s">
        <v>215</v>
      </c>
      <c r="C18" s="13"/>
      <c r="D18" s="13"/>
      <c r="E18" s="13"/>
      <c r="F18" s="13"/>
      <c r="G18" s="13" t="s">
        <v>251</v>
      </c>
      <c r="H18" s="13"/>
      <c r="I18" s="13"/>
      <c r="J18" s="13"/>
      <c r="K18" s="13"/>
      <c r="L18" s="13"/>
      <c r="M18" s="13"/>
      <c r="N18" s="13"/>
      <c r="O18" s="13"/>
      <c r="P18" s="13" t="s">
        <v>215</v>
      </c>
      <c r="Q18" s="13" t="s">
        <v>215</v>
      </c>
      <c r="R18" s="13"/>
      <c r="S18" s="13"/>
      <c r="T18" s="13"/>
      <c r="U18" s="13"/>
      <c r="V18" s="13"/>
      <c r="W18" s="13"/>
      <c r="X18" s="13"/>
      <c r="Y18" s="13"/>
      <c r="Z18" s="13"/>
      <c r="AA18" s="17" t="s">
        <v>215</v>
      </c>
      <c r="AB18" s="13"/>
      <c r="AC18" s="13"/>
      <c r="AD18" s="13"/>
      <c r="AE18" s="13"/>
      <c r="AF18" t="s">
        <v>215</v>
      </c>
    </row>
    <row r="19" spans="1:32" ht="36" customHeight="1" x14ac:dyDescent="0.25">
      <c r="A19" s="14" t="s">
        <v>1123</v>
      </c>
      <c r="B19" s="13" t="s">
        <v>215</v>
      </c>
      <c r="C19" s="13" t="s">
        <v>215</v>
      </c>
      <c r="D19" s="13"/>
      <c r="E19" s="13" t="s">
        <v>215</v>
      </c>
      <c r="F19" s="13" t="s">
        <v>215</v>
      </c>
      <c r="G19" s="13" t="s">
        <v>251</v>
      </c>
      <c r="H19" s="13" t="s">
        <v>215</v>
      </c>
      <c r="I19" s="13" t="s">
        <v>228</v>
      </c>
      <c r="J19" s="13"/>
      <c r="K19" s="13" t="s">
        <v>215</v>
      </c>
      <c r="L19" s="13" t="s">
        <v>215</v>
      </c>
      <c r="M19" s="13" t="s">
        <v>215</v>
      </c>
      <c r="N19" s="13" t="s">
        <v>215</v>
      </c>
      <c r="O19" s="13" t="s">
        <v>215</v>
      </c>
      <c r="P19" s="13" t="s">
        <v>215</v>
      </c>
      <c r="Q19" s="13" t="s">
        <v>215</v>
      </c>
      <c r="R19" s="13"/>
      <c r="S19" s="13" t="s">
        <v>215</v>
      </c>
      <c r="T19" s="13"/>
      <c r="U19" s="13"/>
      <c r="V19" s="13"/>
      <c r="W19" s="13"/>
      <c r="X19" s="13"/>
      <c r="Y19" s="13"/>
      <c r="Z19" s="13"/>
      <c r="AA19" s="17" t="s">
        <v>215</v>
      </c>
      <c r="AB19" s="13" t="s">
        <v>215</v>
      </c>
      <c r="AC19" s="13" t="s">
        <v>215</v>
      </c>
      <c r="AD19" s="13" t="s">
        <v>215</v>
      </c>
      <c r="AE19" s="13"/>
      <c r="AF19" t="s">
        <v>215</v>
      </c>
    </row>
    <row r="20" spans="1:32" ht="36" customHeight="1" x14ac:dyDescent="0.25">
      <c r="A20" s="14" t="s">
        <v>1124</v>
      </c>
      <c r="B20" s="13" t="s">
        <v>215</v>
      </c>
      <c r="C20" s="13" t="s">
        <v>215</v>
      </c>
      <c r="D20" s="13"/>
      <c r="E20" s="13" t="s">
        <v>215</v>
      </c>
      <c r="F20" s="13" t="s">
        <v>215</v>
      </c>
      <c r="G20" s="13" t="s">
        <v>251</v>
      </c>
      <c r="H20" s="13" t="s">
        <v>215</v>
      </c>
      <c r="I20" s="13" t="s">
        <v>228</v>
      </c>
      <c r="J20" s="13"/>
      <c r="K20" s="13" t="s">
        <v>215</v>
      </c>
      <c r="L20" s="13" t="s">
        <v>215</v>
      </c>
      <c r="M20" s="13" t="s">
        <v>215</v>
      </c>
      <c r="N20" s="13" t="s">
        <v>215</v>
      </c>
      <c r="O20" s="13" t="s">
        <v>215</v>
      </c>
      <c r="P20" s="13" t="s">
        <v>215</v>
      </c>
      <c r="Q20" s="13" t="s">
        <v>215</v>
      </c>
      <c r="R20" s="13"/>
      <c r="S20" s="13" t="s">
        <v>215</v>
      </c>
      <c r="T20" s="13"/>
      <c r="U20" s="13"/>
      <c r="V20" s="13"/>
      <c r="W20" s="13"/>
      <c r="X20" s="13"/>
      <c r="Y20" s="13"/>
      <c r="Z20" s="13"/>
      <c r="AA20" s="17" t="s">
        <v>215</v>
      </c>
      <c r="AB20" s="13" t="s">
        <v>215</v>
      </c>
      <c r="AC20" s="13" t="s">
        <v>215</v>
      </c>
      <c r="AD20" s="13"/>
      <c r="AE20" s="13"/>
      <c r="AF20" t="s">
        <v>215</v>
      </c>
    </row>
    <row r="21" spans="1:32" ht="23.1" customHeight="1" x14ac:dyDescent="0.25">
      <c r="A21" s="15" t="s">
        <v>1125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</row>
    <row r="22" spans="1:32" ht="36" customHeight="1" x14ac:dyDescent="0.25">
      <c r="A22" s="14" t="s">
        <v>1126</v>
      </c>
      <c r="B22" s="13" t="s">
        <v>215</v>
      </c>
      <c r="C22" s="13" t="s">
        <v>215</v>
      </c>
      <c r="D22" s="13" t="s">
        <v>215</v>
      </c>
      <c r="E22" s="13" t="s">
        <v>215</v>
      </c>
      <c r="F22" s="13" t="s">
        <v>215</v>
      </c>
      <c r="G22" s="13" t="s">
        <v>251</v>
      </c>
      <c r="H22" s="13" t="s">
        <v>215</v>
      </c>
      <c r="I22" s="13" t="s">
        <v>1127</v>
      </c>
      <c r="J22" s="13" t="s">
        <v>215</v>
      </c>
      <c r="K22" s="13" t="s">
        <v>215</v>
      </c>
      <c r="L22" s="13" t="s">
        <v>215</v>
      </c>
      <c r="M22" s="13" t="s">
        <v>215</v>
      </c>
      <c r="N22" s="13" t="s">
        <v>215</v>
      </c>
      <c r="O22" s="13" t="s">
        <v>215</v>
      </c>
      <c r="P22" s="13" t="s">
        <v>215</v>
      </c>
      <c r="Q22" s="13" t="s">
        <v>215</v>
      </c>
      <c r="R22" s="13" t="s">
        <v>215</v>
      </c>
      <c r="S22" s="13" t="s">
        <v>215</v>
      </c>
      <c r="T22" s="13" t="s">
        <v>215</v>
      </c>
      <c r="U22" s="13" t="s">
        <v>215</v>
      </c>
      <c r="V22" s="13"/>
      <c r="W22" s="13" t="s">
        <v>1128</v>
      </c>
      <c r="X22" s="13" t="s">
        <v>1129</v>
      </c>
      <c r="Y22" s="13" t="s">
        <v>1129</v>
      </c>
      <c r="Z22" s="13" t="s">
        <v>215</v>
      </c>
      <c r="AA22" s="17" t="s">
        <v>215</v>
      </c>
      <c r="AB22" s="13" t="s">
        <v>215</v>
      </c>
      <c r="AC22" s="13" t="s">
        <v>215</v>
      </c>
      <c r="AD22" s="13" t="s">
        <v>215</v>
      </c>
      <c r="AE22" s="13" t="s">
        <v>215</v>
      </c>
      <c r="AF22" t="s">
        <v>215</v>
      </c>
    </row>
    <row r="23" spans="1:32" ht="36" customHeight="1" x14ac:dyDescent="0.25">
      <c r="A23" s="14" t="s">
        <v>1130</v>
      </c>
      <c r="B23" s="13" t="s">
        <v>1131</v>
      </c>
      <c r="C23" s="13" t="s">
        <v>1132</v>
      </c>
      <c r="D23" s="13"/>
      <c r="E23" s="13"/>
      <c r="F23" s="13"/>
      <c r="G23" s="13" t="s">
        <v>251</v>
      </c>
      <c r="H23" s="13" t="s">
        <v>1050</v>
      </c>
      <c r="I23" s="13" t="s">
        <v>1133</v>
      </c>
      <c r="J23" s="13"/>
      <c r="K23" s="13" t="s">
        <v>1134</v>
      </c>
      <c r="L23" s="13" t="s">
        <v>215</v>
      </c>
      <c r="M23" s="13" t="s">
        <v>215</v>
      </c>
      <c r="N23" s="13"/>
      <c r="O23" s="13"/>
      <c r="P23" s="13"/>
      <c r="Q23" s="13"/>
      <c r="R23" s="13"/>
      <c r="S23" s="13"/>
      <c r="T23" s="13"/>
      <c r="U23" s="13"/>
      <c r="V23" s="13"/>
      <c r="W23" s="13" t="s">
        <v>1135</v>
      </c>
      <c r="X23" s="13" t="s">
        <v>1136</v>
      </c>
      <c r="Y23" s="13" t="s">
        <v>228</v>
      </c>
      <c r="Z23" s="13" t="s">
        <v>1137</v>
      </c>
      <c r="AA23" s="17" t="s">
        <v>215</v>
      </c>
      <c r="AB23" s="13"/>
      <c r="AC23" s="13"/>
      <c r="AD23" s="13" t="s">
        <v>1138</v>
      </c>
      <c r="AE23" s="13" t="s">
        <v>1139</v>
      </c>
    </row>
    <row r="24" spans="1:32" ht="36" customHeight="1" x14ac:dyDescent="0.25">
      <c r="A24" s="14" t="s">
        <v>1140</v>
      </c>
      <c r="B24" s="13" t="s">
        <v>215</v>
      </c>
      <c r="C24" s="13" t="s">
        <v>215</v>
      </c>
      <c r="D24" s="13" t="s">
        <v>215</v>
      </c>
      <c r="E24" s="13" t="s">
        <v>215</v>
      </c>
      <c r="F24" s="13" t="s">
        <v>215</v>
      </c>
      <c r="G24" s="13" t="s">
        <v>251</v>
      </c>
      <c r="H24" s="13" t="s">
        <v>215</v>
      </c>
      <c r="I24" s="13" t="s">
        <v>215</v>
      </c>
      <c r="J24" s="13" t="s">
        <v>215</v>
      </c>
      <c r="K24" s="13" t="s">
        <v>215</v>
      </c>
      <c r="L24" s="13" t="s">
        <v>215</v>
      </c>
      <c r="M24" s="13" t="s">
        <v>215</v>
      </c>
      <c r="N24" s="13" t="s">
        <v>215</v>
      </c>
      <c r="O24" s="13" t="s">
        <v>215</v>
      </c>
      <c r="P24" s="13" t="s">
        <v>215</v>
      </c>
      <c r="Q24" s="13" t="s">
        <v>215</v>
      </c>
      <c r="R24" s="13"/>
      <c r="S24" s="13" t="s">
        <v>215</v>
      </c>
      <c r="T24" s="13" t="s">
        <v>215</v>
      </c>
      <c r="U24" s="13"/>
      <c r="V24" s="13"/>
      <c r="W24" s="13"/>
      <c r="X24" s="13"/>
      <c r="Y24" s="13"/>
      <c r="Z24" s="13" t="s">
        <v>215</v>
      </c>
      <c r="AA24" s="17" t="s">
        <v>215</v>
      </c>
      <c r="AB24" s="13" t="s">
        <v>215</v>
      </c>
      <c r="AC24" s="13" t="s">
        <v>215</v>
      </c>
      <c r="AD24" s="13" t="s">
        <v>215</v>
      </c>
      <c r="AE24" s="13" t="s">
        <v>215</v>
      </c>
      <c r="AF24" t="s">
        <v>215</v>
      </c>
    </row>
    <row r="25" spans="1:32" ht="36" customHeight="1" x14ac:dyDescent="0.25">
      <c r="A25" s="14" t="s">
        <v>1141</v>
      </c>
      <c r="B25" s="13" t="s">
        <v>215</v>
      </c>
      <c r="C25" s="13" t="s">
        <v>215</v>
      </c>
      <c r="D25" s="13"/>
      <c r="E25" s="13"/>
      <c r="F25" s="13"/>
      <c r="G25" s="13" t="s">
        <v>251</v>
      </c>
      <c r="H25" s="13"/>
      <c r="I25" s="13"/>
      <c r="J25" s="13"/>
      <c r="K25" s="13" t="s">
        <v>215</v>
      </c>
      <c r="L25" s="13"/>
      <c r="M25" s="13"/>
      <c r="N25" s="13"/>
      <c r="O25" s="13" t="s">
        <v>215</v>
      </c>
      <c r="P25" s="13"/>
      <c r="Q25" s="13" t="s">
        <v>215</v>
      </c>
      <c r="R25" s="13"/>
      <c r="S25" s="13"/>
      <c r="T25" s="13"/>
      <c r="U25" s="13"/>
      <c r="V25" s="13"/>
      <c r="W25" s="13"/>
      <c r="X25" s="13"/>
      <c r="Y25" s="13"/>
      <c r="Z25" s="13"/>
      <c r="AA25" s="17" t="s">
        <v>215</v>
      </c>
      <c r="AB25" s="13"/>
      <c r="AC25" s="13"/>
      <c r="AD25" s="13"/>
      <c r="AE25" s="13"/>
      <c r="AF25" t="s">
        <v>215</v>
      </c>
    </row>
    <row r="26" spans="1:32" ht="36" customHeight="1" x14ac:dyDescent="0.25">
      <c r="A26" s="14" t="s">
        <v>1142</v>
      </c>
      <c r="B26" s="13" t="s">
        <v>215</v>
      </c>
      <c r="C26" s="13" t="s">
        <v>215</v>
      </c>
      <c r="D26" s="13"/>
      <c r="E26" s="13"/>
      <c r="F26" s="13"/>
      <c r="G26" s="13" t="s">
        <v>251</v>
      </c>
      <c r="H26" s="13"/>
      <c r="I26" s="13"/>
      <c r="J26" s="13"/>
      <c r="K26" s="13" t="s">
        <v>215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7" t="s">
        <v>215</v>
      </c>
      <c r="AB26" s="13"/>
      <c r="AC26" s="13"/>
      <c r="AD26" s="13"/>
      <c r="AE26" s="13"/>
      <c r="AF26" t="s">
        <v>215</v>
      </c>
    </row>
  </sheetData>
  <mergeCells count="1">
    <mergeCell ref="A1:A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0"/>
  <sheetViews>
    <sheetView workbookViewId="0">
      <pane xSplit="2" ySplit="2" topLeftCell="Z8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Directory'!A1","Advanced Features — permissions, structured conversation, and message automation"),"Advanced Features — permissions, structured conversation, and message automation")</f>
        <v>Advanced Features — permissions, structured conversation, and message automation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1143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1144</v>
      </c>
      <c r="B4" s="13" t="s">
        <v>215</v>
      </c>
      <c r="C4" s="13" t="s">
        <v>215</v>
      </c>
      <c r="D4" s="13" t="s">
        <v>215</v>
      </c>
      <c r="E4" s="13" t="s">
        <v>215</v>
      </c>
      <c r="F4" s="13" t="s">
        <v>215</v>
      </c>
      <c r="G4" s="13" t="s">
        <v>1145</v>
      </c>
      <c r="H4" s="13" t="s">
        <v>215</v>
      </c>
      <c r="I4" s="13" t="s">
        <v>1146</v>
      </c>
      <c r="J4" s="13" t="s">
        <v>215</v>
      </c>
      <c r="K4" s="13" t="s">
        <v>215</v>
      </c>
      <c r="L4" s="13" t="s">
        <v>215</v>
      </c>
      <c r="M4" s="13" t="s">
        <v>215</v>
      </c>
      <c r="N4" s="13" t="s">
        <v>215</v>
      </c>
      <c r="O4" s="13" t="s">
        <v>215</v>
      </c>
      <c r="P4" s="13" t="s">
        <v>215</v>
      </c>
      <c r="Q4" s="13" t="s">
        <v>215</v>
      </c>
      <c r="R4" s="13"/>
      <c r="S4" s="13" t="s">
        <v>215</v>
      </c>
      <c r="T4" s="13" t="s">
        <v>215</v>
      </c>
      <c r="U4" s="13" t="s">
        <v>1147</v>
      </c>
      <c r="V4" s="13" t="s">
        <v>1148</v>
      </c>
      <c r="W4" s="13"/>
      <c r="X4" s="13" t="s">
        <v>215</v>
      </c>
      <c r="Y4" s="13"/>
      <c r="Z4" s="13" t="s">
        <v>215</v>
      </c>
      <c r="AA4" s="17" t="s">
        <v>215</v>
      </c>
      <c r="AB4" s="13" t="s">
        <v>215</v>
      </c>
      <c r="AC4" s="13" t="s">
        <v>215</v>
      </c>
      <c r="AD4" s="13" t="s">
        <v>215</v>
      </c>
      <c r="AE4" s="13" t="s">
        <v>215</v>
      </c>
      <c r="AF4" t="s">
        <v>215</v>
      </c>
    </row>
    <row r="5" spans="1:32" ht="36" customHeight="1" x14ac:dyDescent="0.25">
      <c r="A5" s="14" t="s">
        <v>1149</v>
      </c>
      <c r="B5" s="13" t="s">
        <v>1150</v>
      </c>
      <c r="C5" s="13" t="s">
        <v>215</v>
      </c>
      <c r="D5" s="13" t="s">
        <v>215</v>
      </c>
      <c r="E5" s="13" t="s">
        <v>215</v>
      </c>
      <c r="F5" s="13" t="s">
        <v>215</v>
      </c>
      <c r="G5" s="13" t="s">
        <v>1151</v>
      </c>
      <c r="H5" s="13" t="s">
        <v>215</v>
      </c>
      <c r="I5" s="13" t="s">
        <v>1152</v>
      </c>
      <c r="J5" s="13" t="s">
        <v>215</v>
      </c>
      <c r="K5" s="13" t="s">
        <v>1153</v>
      </c>
      <c r="L5" s="13" t="s">
        <v>1154</v>
      </c>
      <c r="M5" s="13" t="s">
        <v>1154</v>
      </c>
      <c r="N5" s="13" t="s">
        <v>215</v>
      </c>
      <c r="O5" s="13" t="s">
        <v>215</v>
      </c>
      <c r="P5" s="13" t="s">
        <v>215</v>
      </c>
      <c r="Q5" s="13" t="s">
        <v>215</v>
      </c>
      <c r="R5" s="13"/>
      <c r="S5" s="13" t="s">
        <v>215</v>
      </c>
      <c r="T5" s="13" t="s">
        <v>215</v>
      </c>
      <c r="U5" s="13"/>
      <c r="V5" s="13" t="s">
        <v>1148</v>
      </c>
      <c r="W5" s="13" t="s">
        <v>1155</v>
      </c>
      <c r="X5" s="13"/>
      <c r="Y5" s="13"/>
      <c r="Z5" s="13" t="s">
        <v>215</v>
      </c>
      <c r="AA5" s="17" t="s">
        <v>215</v>
      </c>
      <c r="AB5" s="13" t="s">
        <v>215</v>
      </c>
      <c r="AC5" s="13" t="s">
        <v>215</v>
      </c>
      <c r="AD5" s="13" t="s">
        <v>215</v>
      </c>
      <c r="AE5" s="13" t="s">
        <v>1156</v>
      </c>
      <c r="AF5" t="s">
        <v>215</v>
      </c>
    </row>
    <row r="6" spans="1:32" ht="36" customHeight="1" x14ac:dyDescent="0.25">
      <c r="A6" s="14" t="s">
        <v>1157</v>
      </c>
      <c r="B6" s="13" t="s">
        <v>215</v>
      </c>
      <c r="C6" s="13" t="s">
        <v>215</v>
      </c>
      <c r="D6" s="13" t="s">
        <v>1158</v>
      </c>
      <c r="E6" s="13" t="s">
        <v>215</v>
      </c>
      <c r="F6" s="13" t="s">
        <v>215</v>
      </c>
      <c r="G6" s="13" t="s">
        <v>1159</v>
      </c>
      <c r="H6" s="13" t="s">
        <v>215</v>
      </c>
      <c r="I6" s="13" t="s">
        <v>1160</v>
      </c>
      <c r="J6" s="13" t="s">
        <v>215</v>
      </c>
      <c r="K6" s="13" t="s">
        <v>1161</v>
      </c>
      <c r="L6" s="13" t="s">
        <v>215</v>
      </c>
      <c r="M6" s="13" t="s">
        <v>215</v>
      </c>
      <c r="N6" s="13" t="s">
        <v>215</v>
      </c>
      <c r="O6" s="13" t="s">
        <v>215</v>
      </c>
      <c r="P6" s="13" t="s">
        <v>215</v>
      </c>
      <c r="Q6" s="13" t="s">
        <v>215</v>
      </c>
      <c r="R6" s="13"/>
      <c r="S6" s="13" t="s">
        <v>215</v>
      </c>
      <c r="T6" s="13" t="s">
        <v>215</v>
      </c>
      <c r="U6" s="13"/>
      <c r="V6" s="13" t="s">
        <v>1148</v>
      </c>
      <c r="W6" s="13"/>
      <c r="X6" s="13"/>
      <c r="Y6" s="13"/>
      <c r="Z6" s="13" t="s">
        <v>215</v>
      </c>
      <c r="AA6" s="17" t="s">
        <v>215</v>
      </c>
      <c r="AB6" s="13" t="s">
        <v>215</v>
      </c>
      <c r="AC6" s="13" t="s">
        <v>215</v>
      </c>
      <c r="AD6" s="13" t="s">
        <v>215</v>
      </c>
      <c r="AE6" s="13" t="s">
        <v>215</v>
      </c>
      <c r="AF6" t="s">
        <v>215</v>
      </c>
    </row>
    <row r="7" spans="1:32" ht="36" customHeight="1" x14ac:dyDescent="0.25">
      <c r="A7" s="14" t="s">
        <v>1162</v>
      </c>
      <c r="B7" s="13" t="s">
        <v>1163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 t="s">
        <v>1164</v>
      </c>
      <c r="AB7" s="13"/>
      <c r="AC7" s="13"/>
      <c r="AD7" s="13"/>
      <c r="AE7" s="13"/>
      <c r="AF7" t="s">
        <v>1165</v>
      </c>
    </row>
    <row r="8" spans="1:32" ht="23.1" customHeight="1" x14ac:dyDescent="0.25">
      <c r="A8" s="15" t="s">
        <v>1166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15"/>
      <c r="AC8" s="15"/>
      <c r="AD8" s="15"/>
      <c r="AE8" s="15"/>
    </row>
    <row r="9" spans="1:32" ht="36" customHeight="1" x14ac:dyDescent="0.25">
      <c r="A9" s="14" t="s">
        <v>1167</v>
      </c>
      <c r="B9" s="13" t="s">
        <v>830</v>
      </c>
      <c r="C9" s="13" t="s">
        <v>1168</v>
      </c>
      <c r="D9" s="13" t="s">
        <v>1169</v>
      </c>
      <c r="E9" s="13"/>
      <c r="F9" s="13" t="s">
        <v>1170</v>
      </c>
      <c r="G9" s="13" t="s">
        <v>251</v>
      </c>
      <c r="H9" s="13"/>
      <c r="I9" s="13" t="s">
        <v>228</v>
      </c>
      <c r="J9" s="13" t="s">
        <v>1171</v>
      </c>
      <c r="K9" s="13" t="s">
        <v>1172</v>
      </c>
      <c r="L9" s="13" t="s">
        <v>1173</v>
      </c>
      <c r="M9" s="13" t="s">
        <v>1174</v>
      </c>
      <c r="N9" s="13" t="s">
        <v>1168</v>
      </c>
      <c r="O9" s="13"/>
      <c r="P9" s="13"/>
      <c r="Q9" s="13" t="s">
        <v>215</v>
      </c>
      <c r="R9" s="13"/>
      <c r="S9" s="13"/>
      <c r="T9" s="13" t="s">
        <v>215</v>
      </c>
      <c r="U9" s="13" t="s">
        <v>225</v>
      </c>
      <c r="V9" s="13"/>
      <c r="W9" s="13" t="s">
        <v>1175</v>
      </c>
      <c r="X9" s="13" t="s">
        <v>1176</v>
      </c>
      <c r="Y9" s="13" t="s">
        <v>225</v>
      </c>
      <c r="Z9" s="13"/>
      <c r="AA9" s="17" t="s">
        <v>215</v>
      </c>
      <c r="AB9" s="13"/>
      <c r="AC9" s="13"/>
      <c r="AD9" s="13" t="s">
        <v>1177</v>
      </c>
      <c r="AE9" s="13" t="s">
        <v>1178</v>
      </c>
      <c r="AF9" t="s">
        <v>215</v>
      </c>
    </row>
    <row r="10" spans="1:32" ht="36" customHeight="1" x14ac:dyDescent="0.25">
      <c r="A10" s="14" t="s">
        <v>1176</v>
      </c>
      <c r="B10" s="13" t="s">
        <v>215</v>
      </c>
      <c r="C10" s="13"/>
      <c r="D10" s="13" t="s">
        <v>1169</v>
      </c>
      <c r="E10" s="13"/>
      <c r="F10" s="13"/>
      <c r="G10" s="13" t="s">
        <v>1179</v>
      </c>
      <c r="H10" s="13"/>
      <c r="I10" s="13" t="s">
        <v>228</v>
      </c>
      <c r="J10" s="13"/>
      <c r="K10" s="13" t="s">
        <v>1180</v>
      </c>
      <c r="L10" s="13" t="s">
        <v>215</v>
      </c>
      <c r="M10" s="13" t="s">
        <v>215</v>
      </c>
      <c r="N10" s="13"/>
      <c r="O10" s="13"/>
      <c r="P10" s="13"/>
      <c r="Q10" s="13" t="s">
        <v>215</v>
      </c>
      <c r="R10" s="13"/>
      <c r="S10" s="13" t="s">
        <v>215</v>
      </c>
      <c r="T10" s="13" t="s">
        <v>215</v>
      </c>
      <c r="U10" s="13" t="s">
        <v>225</v>
      </c>
      <c r="V10" s="13" t="s">
        <v>1181</v>
      </c>
      <c r="W10" s="13" t="s">
        <v>1182</v>
      </c>
      <c r="X10" s="13" t="s">
        <v>215</v>
      </c>
      <c r="Y10" s="13"/>
      <c r="Z10" s="13"/>
      <c r="AA10" s="17" t="s">
        <v>215</v>
      </c>
      <c r="AB10" s="13" t="s">
        <v>215</v>
      </c>
      <c r="AC10" s="13" t="s">
        <v>215</v>
      </c>
      <c r="AD10" s="13" t="s">
        <v>215</v>
      </c>
      <c r="AE10" s="13" t="s">
        <v>215</v>
      </c>
      <c r="AF10" t="s">
        <v>215</v>
      </c>
    </row>
    <row r="11" spans="1:32" ht="36" customHeight="1" x14ac:dyDescent="0.25">
      <c r="A11" s="14" t="s">
        <v>1183</v>
      </c>
      <c r="B11" s="13" t="s">
        <v>215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215</v>
      </c>
      <c r="AB11" s="13"/>
      <c r="AC11" s="13"/>
      <c r="AD11" s="13"/>
      <c r="AE11" s="13"/>
      <c r="AF11" t="s">
        <v>215</v>
      </c>
    </row>
    <row r="12" spans="1:32" ht="36" customHeight="1" x14ac:dyDescent="0.25">
      <c r="A12" s="14" t="s">
        <v>1184</v>
      </c>
      <c r="B12" s="13" t="s">
        <v>215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1185</v>
      </c>
      <c r="AB12" s="13"/>
      <c r="AC12" s="13"/>
      <c r="AD12" s="13"/>
      <c r="AE12" s="13"/>
      <c r="AF12" t="s">
        <v>1186</v>
      </c>
    </row>
    <row r="13" spans="1:32" ht="36" customHeight="1" x14ac:dyDescent="0.25">
      <c r="A13" s="14" t="s">
        <v>1187</v>
      </c>
      <c r="B13" s="13" t="s">
        <v>215</v>
      </c>
      <c r="C13" s="13" t="s">
        <v>1188</v>
      </c>
      <c r="D13" s="13"/>
      <c r="E13" s="13"/>
      <c r="F13" s="13" t="s">
        <v>1189</v>
      </c>
      <c r="G13" s="13" t="s">
        <v>1190</v>
      </c>
      <c r="H13" s="13"/>
      <c r="I13" s="13" t="s">
        <v>228</v>
      </c>
      <c r="J13" s="13"/>
      <c r="K13" s="13"/>
      <c r="L13" s="13" t="s">
        <v>1191</v>
      </c>
      <c r="M13" s="13" t="s">
        <v>1192</v>
      </c>
      <c r="N13" s="13" t="s">
        <v>215</v>
      </c>
      <c r="O13" s="13"/>
      <c r="P13" s="13"/>
      <c r="Q13" s="13" t="s">
        <v>215</v>
      </c>
      <c r="R13" s="13"/>
      <c r="S13" s="13"/>
      <c r="T13" s="13"/>
      <c r="U13" s="13" t="s">
        <v>225</v>
      </c>
      <c r="V13" s="13"/>
      <c r="W13" s="13"/>
      <c r="X13" s="13"/>
      <c r="Y13" s="13" t="s">
        <v>225</v>
      </c>
      <c r="Z13" s="13"/>
      <c r="AA13" s="17" t="s">
        <v>215</v>
      </c>
      <c r="AB13" s="13" t="s">
        <v>215</v>
      </c>
      <c r="AC13" s="13"/>
      <c r="AD13" s="13"/>
      <c r="AE13" s="13"/>
      <c r="AF13" t="s">
        <v>1193</v>
      </c>
    </row>
    <row r="14" spans="1:32" ht="36" customHeight="1" x14ac:dyDescent="0.25">
      <c r="A14" s="14" t="s">
        <v>1194</v>
      </c>
      <c r="B14" s="13" t="s">
        <v>1195</v>
      </c>
      <c r="C14" s="13" t="s">
        <v>1196</v>
      </c>
      <c r="D14" s="13" t="s">
        <v>1197</v>
      </c>
      <c r="E14" s="13"/>
      <c r="F14" s="13" t="s">
        <v>1198</v>
      </c>
      <c r="G14" s="13" t="s">
        <v>251</v>
      </c>
      <c r="H14" s="13"/>
      <c r="I14" s="13" t="s">
        <v>228</v>
      </c>
      <c r="J14" s="13"/>
      <c r="K14" s="13" t="s">
        <v>1199</v>
      </c>
      <c r="L14" s="13" t="s">
        <v>1200</v>
      </c>
      <c r="M14" s="13" t="s">
        <v>1201</v>
      </c>
      <c r="N14" s="13" t="s">
        <v>215</v>
      </c>
      <c r="O14" s="13"/>
      <c r="P14" s="13"/>
      <c r="Q14" s="13" t="s">
        <v>215</v>
      </c>
      <c r="R14" s="13"/>
      <c r="S14" s="13" t="s">
        <v>215</v>
      </c>
      <c r="T14" s="13" t="s">
        <v>1202</v>
      </c>
      <c r="U14" s="13" t="s">
        <v>225</v>
      </c>
      <c r="V14" s="13"/>
      <c r="W14" s="13"/>
      <c r="X14" s="13" t="s">
        <v>215</v>
      </c>
      <c r="Y14" s="13" t="s">
        <v>225</v>
      </c>
      <c r="Z14" s="13"/>
      <c r="AA14" s="17" t="s">
        <v>215</v>
      </c>
      <c r="AB14" s="13"/>
      <c r="AC14" s="13"/>
      <c r="AD14" s="13" t="s">
        <v>1203</v>
      </c>
      <c r="AE14" s="13" t="s">
        <v>1204</v>
      </c>
      <c r="AF14" t="s">
        <v>215</v>
      </c>
    </row>
    <row r="15" spans="1:32" ht="36" customHeight="1" x14ac:dyDescent="0.25">
      <c r="A15" s="14" t="s">
        <v>1205</v>
      </c>
      <c r="B15" s="13" t="s">
        <v>1206</v>
      </c>
      <c r="C15" s="13"/>
      <c r="D15" s="13"/>
      <c r="E15" s="13"/>
      <c r="F15" s="13"/>
      <c r="G15" s="13"/>
      <c r="H15" s="13"/>
      <c r="I15" s="13"/>
      <c r="J15" s="13"/>
      <c r="K15" s="13"/>
      <c r="L15" s="13" t="s">
        <v>844</v>
      </c>
      <c r="M15" s="13" t="s">
        <v>845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1207</v>
      </c>
      <c r="AB15" s="13"/>
      <c r="AC15" s="13"/>
      <c r="AD15" s="13"/>
      <c r="AE15" s="13"/>
    </row>
    <row r="16" spans="1:32" ht="23.1" customHeight="1" x14ac:dyDescent="0.25">
      <c r="A16" s="15" t="s">
        <v>1208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5"/>
      <c r="AC16" s="15"/>
      <c r="AD16" s="15"/>
      <c r="AE16" s="15"/>
    </row>
    <row r="17" spans="1:32" ht="36" customHeight="1" x14ac:dyDescent="0.25">
      <c r="A17" s="14" t="s">
        <v>1209</v>
      </c>
      <c r="B17" s="13" t="s">
        <v>1210</v>
      </c>
      <c r="C17" s="13"/>
      <c r="D17" s="13"/>
      <c r="E17" s="13"/>
      <c r="F17" s="13"/>
      <c r="G17" s="13"/>
      <c r="H17" s="13"/>
      <c r="I17" s="13"/>
      <c r="J17" s="13"/>
      <c r="K17" s="13" t="s">
        <v>1211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215</v>
      </c>
      <c r="AB17" s="13"/>
      <c r="AC17" s="13"/>
      <c r="AD17" s="13"/>
      <c r="AE17" s="13"/>
    </row>
    <row r="18" spans="1:32" ht="36" customHeight="1" x14ac:dyDescent="0.25">
      <c r="A18" s="14" t="s">
        <v>1212</v>
      </c>
      <c r="B18" s="13" t="s">
        <v>1213</v>
      </c>
      <c r="C18" s="13"/>
      <c r="D18" s="13"/>
      <c r="E18" s="13"/>
      <c r="F18" s="13"/>
      <c r="G18" s="13" t="s">
        <v>1214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 t="s">
        <v>1215</v>
      </c>
      <c r="AB18" s="13"/>
      <c r="AC18" s="13"/>
      <c r="AD18" s="13"/>
      <c r="AE18" s="13"/>
    </row>
    <row r="19" spans="1:32" ht="36" customHeight="1" x14ac:dyDescent="0.25">
      <c r="A19" s="14" t="s">
        <v>1216</v>
      </c>
      <c r="B19" s="13" t="s">
        <v>485</v>
      </c>
      <c r="C19" s="13"/>
      <c r="D19" s="13"/>
      <c r="E19" s="13"/>
      <c r="F19" s="13"/>
      <c r="G19" s="13" t="s">
        <v>251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215</v>
      </c>
      <c r="AB19" s="13"/>
      <c r="AC19" s="13"/>
      <c r="AD19" s="13"/>
      <c r="AE19" s="13"/>
      <c r="AF19" t="s">
        <v>1217</v>
      </c>
    </row>
    <row r="20" spans="1:32" ht="36" customHeight="1" x14ac:dyDescent="0.25">
      <c r="A20" s="14" t="s">
        <v>1218</v>
      </c>
      <c r="B20" s="13" t="s">
        <v>1219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 t="s">
        <v>215</v>
      </c>
      <c r="AB20" s="13"/>
      <c r="AC20" s="13"/>
      <c r="AD20" s="13"/>
      <c r="AE20" s="13"/>
    </row>
  </sheetData>
  <mergeCells count="1">
    <mergeCell ref="A1:A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8"/>
  <sheetViews>
    <sheetView workbookViewId="0">
      <pane xSplit="2" ySplit="2" topLeftCell="Z13" activePane="bottomRight" state="frozen"/>
      <selection pane="topRight" activeCell="C1" sqref="C1"/>
      <selection pane="bottomLeft" activeCell="A3" sqref="A3"/>
      <selection pane="bottomRight" activeCell="AA17" sqref="AA17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Directory'!A1","Channel Types — native, structured, and specialized channel/workspace types"),"Channel Types — native, structured, and specialized channel/workspace types")</f>
        <v>Channel Types — native, structured, and specialized channel/workspace types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1220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1221</v>
      </c>
      <c r="B4" s="13" t="s">
        <v>1222</v>
      </c>
      <c r="C4" s="13" t="s">
        <v>215</v>
      </c>
      <c r="D4" s="13" t="s">
        <v>215</v>
      </c>
      <c r="E4" s="13"/>
      <c r="F4" s="13" t="s">
        <v>215</v>
      </c>
      <c r="G4" s="13" t="s">
        <v>1223</v>
      </c>
      <c r="H4" s="13" t="s">
        <v>982</v>
      </c>
      <c r="I4" s="13" t="s">
        <v>983</v>
      </c>
      <c r="J4" s="13" t="s">
        <v>984</v>
      </c>
      <c r="K4" s="13" t="s">
        <v>1224</v>
      </c>
      <c r="L4" s="13" t="s">
        <v>985</v>
      </c>
      <c r="M4" s="13" t="s">
        <v>986</v>
      </c>
      <c r="N4" s="13" t="s">
        <v>215</v>
      </c>
      <c r="O4" s="13" t="s">
        <v>987</v>
      </c>
      <c r="P4" s="13" t="s">
        <v>988</v>
      </c>
      <c r="Q4" s="13" t="s">
        <v>215</v>
      </c>
      <c r="R4" s="13"/>
      <c r="S4" s="13" t="s">
        <v>215</v>
      </c>
      <c r="T4" s="13" t="s">
        <v>215</v>
      </c>
      <c r="U4" s="13" t="s">
        <v>215</v>
      </c>
      <c r="V4" s="13"/>
      <c r="W4" s="13" t="s">
        <v>989</v>
      </c>
      <c r="X4" s="13" t="s">
        <v>215</v>
      </c>
      <c r="Y4" s="13" t="s">
        <v>215</v>
      </c>
      <c r="Z4" s="13"/>
      <c r="AA4" s="17" t="s">
        <v>215</v>
      </c>
      <c r="AB4" s="13" t="s">
        <v>215</v>
      </c>
      <c r="AC4" s="13" t="s">
        <v>215</v>
      </c>
      <c r="AD4" s="13" t="s">
        <v>215</v>
      </c>
      <c r="AE4" s="13" t="s">
        <v>215</v>
      </c>
      <c r="AF4" t="s">
        <v>215</v>
      </c>
    </row>
    <row r="5" spans="1:32" ht="36" customHeight="1" x14ac:dyDescent="0.25">
      <c r="A5" s="14" t="s">
        <v>1225</v>
      </c>
      <c r="B5" s="13" t="s">
        <v>1226</v>
      </c>
      <c r="C5" s="13" t="s">
        <v>215</v>
      </c>
      <c r="D5" s="13" t="s">
        <v>215</v>
      </c>
      <c r="E5" s="13"/>
      <c r="F5" s="13" t="s">
        <v>215</v>
      </c>
      <c r="G5" s="13" t="s">
        <v>991</v>
      </c>
      <c r="H5" s="13" t="s">
        <v>992</v>
      </c>
      <c r="I5" s="13" t="s">
        <v>215</v>
      </c>
      <c r="J5" s="13" t="s">
        <v>215</v>
      </c>
      <c r="K5" s="13" t="s">
        <v>993</v>
      </c>
      <c r="L5" s="13" t="s">
        <v>994</v>
      </c>
      <c r="M5" s="13" t="s">
        <v>995</v>
      </c>
      <c r="N5" s="13" t="s">
        <v>215</v>
      </c>
      <c r="O5" s="13"/>
      <c r="P5" s="13" t="s">
        <v>215</v>
      </c>
      <c r="Q5" s="13" t="s">
        <v>215</v>
      </c>
      <c r="R5" s="13"/>
      <c r="S5" s="13" t="s">
        <v>215</v>
      </c>
      <c r="T5" s="13" t="s">
        <v>215</v>
      </c>
      <c r="U5" s="13" t="s">
        <v>215</v>
      </c>
      <c r="V5" s="13"/>
      <c r="W5" s="13"/>
      <c r="X5" s="13" t="s">
        <v>215</v>
      </c>
      <c r="Y5" s="13" t="s">
        <v>215</v>
      </c>
      <c r="Z5" s="13" t="s">
        <v>215</v>
      </c>
      <c r="AA5" s="17" t="s">
        <v>215</v>
      </c>
      <c r="AB5" s="13" t="s">
        <v>215</v>
      </c>
      <c r="AC5" s="13" t="s">
        <v>215</v>
      </c>
      <c r="AD5" s="13" t="s">
        <v>215</v>
      </c>
      <c r="AE5" s="13" t="s">
        <v>215</v>
      </c>
      <c r="AF5" t="s">
        <v>215</v>
      </c>
    </row>
    <row r="6" spans="1:32" ht="36" customHeight="1" x14ac:dyDescent="0.25">
      <c r="A6" s="14" t="s">
        <v>1227</v>
      </c>
      <c r="B6" s="13" t="s">
        <v>1228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 t="s">
        <v>1229</v>
      </c>
      <c r="AB6" s="13"/>
      <c r="AC6" s="13"/>
      <c r="AD6" s="13"/>
      <c r="AE6" s="13"/>
      <c r="AF6" t="s">
        <v>1230</v>
      </c>
    </row>
    <row r="7" spans="1:32" ht="36" customHeight="1" x14ac:dyDescent="0.25">
      <c r="A7" s="14" t="s">
        <v>1231</v>
      </c>
      <c r="B7" s="13" t="s">
        <v>1232</v>
      </c>
      <c r="C7" s="13"/>
      <c r="D7" s="13"/>
      <c r="E7" s="13"/>
      <c r="F7" s="13"/>
      <c r="G7" s="13" t="s">
        <v>1233</v>
      </c>
      <c r="H7" s="13"/>
      <c r="I7" s="13"/>
      <c r="J7" s="13"/>
      <c r="K7" s="13"/>
      <c r="L7" s="13" t="s">
        <v>1173</v>
      </c>
      <c r="M7" s="13"/>
      <c r="N7" s="13"/>
      <c r="O7" s="13"/>
      <c r="P7" s="13"/>
      <c r="Q7" s="13" t="s">
        <v>215</v>
      </c>
      <c r="R7" s="13"/>
      <c r="S7" s="13"/>
      <c r="T7" s="13" t="s">
        <v>215</v>
      </c>
      <c r="U7" s="13"/>
      <c r="V7" s="13"/>
      <c r="W7" s="13" t="s">
        <v>834</v>
      </c>
      <c r="X7" s="13"/>
      <c r="Y7" s="13"/>
      <c r="Z7" s="13"/>
      <c r="AA7" s="17" t="s">
        <v>1234</v>
      </c>
      <c r="AB7" s="13"/>
      <c r="AC7" s="13"/>
      <c r="AD7" s="13" t="s">
        <v>837</v>
      </c>
      <c r="AE7" s="13" t="s">
        <v>215</v>
      </c>
    </row>
    <row r="8" spans="1:32" ht="36" customHeight="1" x14ac:dyDescent="0.25">
      <c r="A8" s="14" t="s">
        <v>1235</v>
      </c>
      <c r="B8" s="13" t="s">
        <v>839</v>
      </c>
      <c r="C8" s="13" t="s">
        <v>1236</v>
      </c>
      <c r="D8" s="13" t="s">
        <v>1236</v>
      </c>
      <c r="E8" s="13" t="s">
        <v>1236</v>
      </c>
      <c r="F8" s="13" t="s">
        <v>1237</v>
      </c>
      <c r="G8" s="13" t="s">
        <v>1238</v>
      </c>
      <c r="H8" s="13" t="s">
        <v>1236</v>
      </c>
      <c r="I8" s="13" t="s">
        <v>228</v>
      </c>
      <c r="J8" s="13" t="s">
        <v>228</v>
      </c>
      <c r="K8" s="13" t="s">
        <v>225</v>
      </c>
      <c r="L8" s="13" t="s">
        <v>225</v>
      </c>
      <c r="M8" s="13" t="s">
        <v>225</v>
      </c>
      <c r="N8" s="13" t="s">
        <v>225</v>
      </c>
      <c r="O8" s="13" t="s">
        <v>225</v>
      </c>
      <c r="P8" s="13" t="s">
        <v>225</v>
      </c>
      <c r="Q8" s="13" t="s">
        <v>1239</v>
      </c>
      <c r="R8" s="13" t="s">
        <v>225</v>
      </c>
      <c r="S8" s="13" t="s">
        <v>1236</v>
      </c>
      <c r="T8" s="13" t="s">
        <v>1240</v>
      </c>
      <c r="U8" s="13" t="s">
        <v>225</v>
      </c>
      <c r="V8" s="13" t="s">
        <v>225</v>
      </c>
      <c r="W8" s="13"/>
      <c r="X8" s="13" t="s">
        <v>225</v>
      </c>
      <c r="Y8" s="13" t="s">
        <v>225</v>
      </c>
      <c r="Z8" s="13" t="s">
        <v>225</v>
      </c>
      <c r="AA8" s="17" t="s">
        <v>1241</v>
      </c>
      <c r="AB8" s="13" t="s">
        <v>225</v>
      </c>
      <c r="AC8" s="13" t="s">
        <v>225</v>
      </c>
      <c r="AD8" s="13" t="s">
        <v>225</v>
      </c>
      <c r="AE8" s="13" t="s">
        <v>225</v>
      </c>
      <c r="AF8" t="s">
        <v>1242</v>
      </c>
    </row>
    <row r="9" spans="1:32" ht="36" customHeight="1" x14ac:dyDescent="0.25">
      <c r="A9" s="14" t="s">
        <v>1243</v>
      </c>
      <c r="B9" s="13" t="s">
        <v>1244</v>
      </c>
      <c r="C9" s="13"/>
      <c r="D9" s="13"/>
      <c r="E9" s="13"/>
      <c r="F9" s="13"/>
      <c r="G9" s="13" t="s">
        <v>1245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7" t="s">
        <v>1246</v>
      </c>
      <c r="AB9" s="13"/>
      <c r="AC9" s="13"/>
      <c r="AD9" s="13"/>
      <c r="AE9" s="13"/>
      <c r="AF9" t="s">
        <v>1247</v>
      </c>
    </row>
    <row r="10" spans="1:32" ht="36" customHeight="1" x14ac:dyDescent="0.25">
      <c r="A10" s="14" t="s">
        <v>1248</v>
      </c>
      <c r="B10" s="13" t="s">
        <v>1249</v>
      </c>
      <c r="C10" s="13"/>
      <c r="D10" s="13"/>
      <c r="E10" s="13"/>
      <c r="F10" s="13"/>
      <c r="G10" s="13"/>
      <c r="H10" s="13"/>
      <c r="I10" s="13"/>
      <c r="J10" s="13" t="s">
        <v>1250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1251</v>
      </c>
      <c r="AB10" s="13"/>
      <c r="AC10" s="13"/>
      <c r="AD10" s="13"/>
      <c r="AE10" s="13"/>
      <c r="AF10" t="s">
        <v>1252</v>
      </c>
    </row>
    <row r="11" spans="1:32" ht="23.1" customHeight="1" x14ac:dyDescent="0.25">
      <c r="A11" s="15" t="s">
        <v>1253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</row>
    <row r="12" spans="1:32" ht="36" customHeight="1" x14ac:dyDescent="0.25">
      <c r="A12" s="14" t="s">
        <v>1187</v>
      </c>
      <c r="B12" s="13" t="s">
        <v>1254</v>
      </c>
      <c r="C12" s="13" t="s">
        <v>1236</v>
      </c>
      <c r="D12" s="13"/>
      <c r="E12" s="13"/>
      <c r="F12" s="13" t="s">
        <v>1255</v>
      </c>
      <c r="G12" s="13" t="s">
        <v>1256</v>
      </c>
      <c r="H12" s="13"/>
      <c r="I12" s="13" t="s">
        <v>228</v>
      </c>
      <c r="J12" s="13" t="s">
        <v>228</v>
      </c>
      <c r="K12" s="13" t="s">
        <v>1257</v>
      </c>
      <c r="L12" s="13" t="s">
        <v>1258</v>
      </c>
      <c r="M12" s="13" t="s">
        <v>1259</v>
      </c>
      <c r="N12" s="13" t="s">
        <v>215</v>
      </c>
      <c r="O12" s="13" t="s">
        <v>225</v>
      </c>
      <c r="P12" s="13" t="s">
        <v>225</v>
      </c>
      <c r="Q12" s="13" t="s">
        <v>1260</v>
      </c>
      <c r="R12" s="13" t="s">
        <v>225</v>
      </c>
      <c r="S12" s="13" t="s">
        <v>1236</v>
      </c>
      <c r="T12" s="13"/>
      <c r="U12" s="13" t="s">
        <v>225</v>
      </c>
      <c r="V12" s="13" t="s">
        <v>225</v>
      </c>
      <c r="W12" s="13" t="s">
        <v>225</v>
      </c>
      <c r="X12" s="13" t="s">
        <v>225</v>
      </c>
      <c r="Y12" s="13" t="s">
        <v>225</v>
      </c>
      <c r="Z12" s="13" t="s">
        <v>225</v>
      </c>
      <c r="AA12" s="17" t="s">
        <v>1261</v>
      </c>
      <c r="AB12" s="13" t="s">
        <v>1187</v>
      </c>
      <c r="AC12" s="13" t="s">
        <v>225</v>
      </c>
      <c r="AD12" s="13"/>
      <c r="AE12" s="13"/>
      <c r="AF12" t="s">
        <v>1262</v>
      </c>
    </row>
    <row r="13" spans="1:32" ht="36" customHeight="1" x14ac:dyDescent="0.25">
      <c r="A13" s="14" t="s">
        <v>1263</v>
      </c>
      <c r="B13" s="13" t="s">
        <v>1264</v>
      </c>
      <c r="C13" s="13" t="s">
        <v>1236</v>
      </c>
      <c r="D13" s="13" t="s">
        <v>1236</v>
      </c>
      <c r="E13" s="13" t="s">
        <v>1236</v>
      </c>
      <c r="F13" s="13" t="s">
        <v>1237</v>
      </c>
      <c r="G13" s="13" t="s">
        <v>1265</v>
      </c>
      <c r="H13" s="13" t="s">
        <v>1236</v>
      </c>
      <c r="I13" s="13" t="s">
        <v>228</v>
      </c>
      <c r="J13" s="13" t="s">
        <v>228</v>
      </c>
      <c r="K13" s="13" t="s">
        <v>1257</v>
      </c>
      <c r="L13" s="13" t="s">
        <v>1266</v>
      </c>
      <c r="M13" s="13" t="s">
        <v>1267</v>
      </c>
      <c r="N13" s="13" t="s">
        <v>225</v>
      </c>
      <c r="O13" s="13" t="s">
        <v>225</v>
      </c>
      <c r="P13" s="13" t="s">
        <v>225</v>
      </c>
      <c r="Q13" s="13" t="s">
        <v>225</v>
      </c>
      <c r="R13" s="13" t="s">
        <v>225</v>
      </c>
      <c r="S13" s="13" t="s">
        <v>1236</v>
      </c>
      <c r="T13" s="13" t="s">
        <v>225</v>
      </c>
      <c r="U13" s="13" t="s">
        <v>225</v>
      </c>
      <c r="V13" s="13" t="s">
        <v>225</v>
      </c>
      <c r="W13" s="13" t="s">
        <v>225</v>
      </c>
      <c r="X13" s="13" t="s">
        <v>225</v>
      </c>
      <c r="Y13" s="13" t="s">
        <v>225</v>
      </c>
      <c r="Z13" s="13" t="s">
        <v>225</v>
      </c>
      <c r="AA13" s="17" t="s">
        <v>1268</v>
      </c>
      <c r="AB13" s="13" t="s">
        <v>225</v>
      </c>
      <c r="AC13" s="13" t="s">
        <v>225</v>
      </c>
      <c r="AD13" s="13" t="s">
        <v>225</v>
      </c>
      <c r="AE13" s="13"/>
      <c r="AF13" t="s">
        <v>1269</v>
      </c>
    </row>
    <row r="14" spans="1:32" ht="36" customHeight="1" x14ac:dyDescent="0.25">
      <c r="A14" s="14" t="s">
        <v>1270</v>
      </c>
      <c r="B14" s="13" t="s">
        <v>1271</v>
      </c>
      <c r="C14" s="13" t="s">
        <v>1236</v>
      </c>
      <c r="D14" s="13" t="s">
        <v>1236</v>
      </c>
      <c r="E14" s="13" t="s">
        <v>1236</v>
      </c>
      <c r="F14" s="13" t="s">
        <v>1237</v>
      </c>
      <c r="G14" s="13" t="s">
        <v>1238</v>
      </c>
      <c r="H14" s="13" t="s">
        <v>1236</v>
      </c>
      <c r="I14" s="13" t="s">
        <v>228</v>
      </c>
      <c r="J14" s="13" t="s">
        <v>228</v>
      </c>
      <c r="K14" s="13" t="s">
        <v>225</v>
      </c>
      <c r="L14" s="13" t="s">
        <v>225</v>
      </c>
      <c r="M14" s="13" t="s">
        <v>225</v>
      </c>
      <c r="N14" s="13" t="s">
        <v>225</v>
      </c>
      <c r="O14" s="13" t="s">
        <v>225</v>
      </c>
      <c r="P14" s="13" t="s">
        <v>225</v>
      </c>
      <c r="Q14" s="13" t="s">
        <v>1236</v>
      </c>
      <c r="R14" s="13" t="s">
        <v>225</v>
      </c>
      <c r="S14" s="13" t="s">
        <v>1236</v>
      </c>
      <c r="T14" s="13" t="s">
        <v>225</v>
      </c>
      <c r="U14" s="13" t="s">
        <v>225</v>
      </c>
      <c r="V14" s="13" t="s">
        <v>225</v>
      </c>
      <c r="W14" s="13" t="s">
        <v>225</v>
      </c>
      <c r="X14" s="13" t="s">
        <v>225</v>
      </c>
      <c r="Y14" s="13" t="s">
        <v>225</v>
      </c>
      <c r="Z14" s="13" t="s">
        <v>225</v>
      </c>
      <c r="AA14" s="17" t="s">
        <v>1272</v>
      </c>
      <c r="AB14" s="13" t="s">
        <v>225</v>
      </c>
      <c r="AC14" s="13" t="s">
        <v>225</v>
      </c>
      <c r="AD14" s="13" t="s">
        <v>225</v>
      </c>
      <c r="AE14" s="13" t="s">
        <v>225</v>
      </c>
      <c r="AF14" t="s">
        <v>1269</v>
      </c>
    </row>
    <row r="15" spans="1:32" ht="36" customHeight="1" x14ac:dyDescent="0.25">
      <c r="A15" s="14" t="s">
        <v>1273</v>
      </c>
      <c r="B15" s="13" t="s">
        <v>1274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1275</v>
      </c>
      <c r="AB15" s="13"/>
      <c r="AC15" s="13"/>
      <c r="AD15" s="13"/>
      <c r="AE15" s="13"/>
      <c r="AF15" t="s">
        <v>1269</v>
      </c>
    </row>
    <row r="16" spans="1:32" ht="36" customHeight="1" x14ac:dyDescent="0.25">
      <c r="A16" s="14" t="s">
        <v>1276</v>
      </c>
      <c r="B16" s="13" t="s">
        <v>1277</v>
      </c>
      <c r="C16" s="13" t="s">
        <v>1236</v>
      </c>
      <c r="D16" s="13" t="s">
        <v>1236</v>
      </c>
      <c r="E16" s="13" t="s">
        <v>1236</v>
      </c>
      <c r="F16" s="13" t="s">
        <v>1237</v>
      </c>
      <c r="G16" s="13" t="s">
        <v>251</v>
      </c>
      <c r="H16" s="13" t="s">
        <v>1236</v>
      </c>
      <c r="I16" s="13" t="s">
        <v>228</v>
      </c>
      <c r="J16" s="13" t="s">
        <v>228</v>
      </c>
      <c r="K16" s="13" t="s">
        <v>225</v>
      </c>
      <c r="L16" s="13" t="s">
        <v>225</v>
      </c>
      <c r="M16" s="13" t="s">
        <v>225</v>
      </c>
      <c r="N16" s="13" t="s">
        <v>225</v>
      </c>
      <c r="O16" s="13" t="s">
        <v>225</v>
      </c>
      <c r="P16" s="13" t="s">
        <v>225</v>
      </c>
      <c r="Q16" s="13" t="s">
        <v>225</v>
      </c>
      <c r="R16" s="13" t="s">
        <v>225</v>
      </c>
      <c r="S16" s="13" t="s">
        <v>1236</v>
      </c>
      <c r="T16" s="13" t="s">
        <v>225</v>
      </c>
      <c r="U16" s="13" t="s">
        <v>225</v>
      </c>
      <c r="V16" s="13" t="s">
        <v>225</v>
      </c>
      <c r="W16" s="13" t="s">
        <v>225</v>
      </c>
      <c r="X16" s="13" t="s">
        <v>225</v>
      </c>
      <c r="Y16" s="13" t="s">
        <v>225</v>
      </c>
      <c r="Z16" s="13" t="s">
        <v>225</v>
      </c>
      <c r="AA16" s="17" t="s">
        <v>5829</v>
      </c>
      <c r="AB16" s="13" t="s">
        <v>225</v>
      </c>
      <c r="AC16" s="13" t="s">
        <v>225</v>
      </c>
      <c r="AD16" s="13" t="s">
        <v>225</v>
      </c>
      <c r="AE16" s="13" t="s">
        <v>1278</v>
      </c>
      <c r="AF16" t="s">
        <v>1269</v>
      </c>
    </row>
    <row r="17" spans="1:32" ht="36" customHeight="1" x14ac:dyDescent="0.25">
      <c r="A17" s="14" t="s">
        <v>1279</v>
      </c>
      <c r="B17" s="13" t="s">
        <v>1280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1281</v>
      </c>
      <c r="AB17" s="13"/>
      <c r="AC17" s="13"/>
      <c r="AD17" s="13"/>
      <c r="AE17" s="13"/>
    </row>
    <row r="18" spans="1:32" ht="23.1" customHeight="1" x14ac:dyDescent="0.25">
      <c r="A18" s="15" t="s">
        <v>1282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</row>
    <row r="19" spans="1:32" ht="36" customHeight="1" x14ac:dyDescent="0.25">
      <c r="A19" s="14" t="s">
        <v>1283</v>
      </c>
      <c r="B19" s="13" t="s">
        <v>1284</v>
      </c>
      <c r="C19" s="13" t="s">
        <v>1236</v>
      </c>
      <c r="D19" s="13" t="s">
        <v>1236</v>
      </c>
      <c r="E19" s="13" t="s">
        <v>1236</v>
      </c>
      <c r="F19" s="13" t="s">
        <v>1237</v>
      </c>
      <c r="G19" s="13" t="s">
        <v>1238</v>
      </c>
      <c r="H19" s="13" t="s">
        <v>1236</v>
      </c>
      <c r="I19" s="13" t="s">
        <v>228</v>
      </c>
      <c r="J19" s="13" t="s">
        <v>228</v>
      </c>
      <c r="K19" s="13" t="s">
        <v>225</v>
      </c>
      <c r="L19" s="13" t="s">
        <v>225</v>
      </c>
      <c r="M19" s="13" t="s">
        <v>225</v>
      </c>
      <c r="N19" s="13" t="s">
        <v>225</v>
      </c>
      <c r="O19" s="13" t="s">
        <v>225</v>
      </c>
      <c r="P19" s="13" t="s">
        <v>225</v>
      </c>
      <c r="Q19" s="13" t="s">
        <v>225</v>
      </c>
      <c r="R19" s="13" t="s">
        <v>225</v>
      </c>
      <c r="S19" s="13" t="s">
        <v>1236</v>
      </c>
      <c r="T19" s="13" t="s">
        <v>225</v>
      </c>
      <c r="U19" s="13" t="s">
        <v>225</v>
      </c>
      <c r="V19" s="13" t="s">
        <v>225</v>
      </c>
      <c r="W19" s="13" t="s">
        <v>1285</v>
      </c>
      <c r="X19" s="13" t="s">
        <v>225</v>
      </c>
      <c r="Y19" s="13" t="s">
        <v>225</v>
      </c>
      <c r="Z19" s="13" t="s">
        <v>225</v>
      </c>
      <c r="AA19" s="17" t="s">
        <v>1286</v>
      </c>
      <c r="AB19" s="13" t="s">
        <v>225</v>
      </c>
      <c r="AC19" s="13" t="s">
        <v>225</v>
      </c>
      <c r="AD19" s="13" t="s">
        <v>1283</v>
      </c>
      <c r="AE19" s="13" t="s">
        <v>225</v>
      </c>
      <c r="AF19" t="s">
        <v>1269</v>
      </c>
    </row>
    <row r="20" spans="1:32" ht="36" customHeight="1" x14ac:dyDescent="0.25">
      <c r="A20" s="14" t="s">
        <v>1287</v>
      </c>
      <c r="B20" s="13" t="s">
        <v>1288</v>
      </c>
      <c r="C20" s="13" t="s">
        <v>1236</v>
      </c>
      <c r="D20" s="13" t="s">
        <v>1236</v>
      </c>
      <c r="E20" s="13" t="s">
        <v>1236</v>
      </c>
      <c r="F20" s="13" t="s">
        <v>1237</v>
      </c>
      <c r="G20" s="13" t="s">
        <v>1238</v>
      </c>
      <c r="H20" s="13" t="s">
        <v>1236</v>
      </c>
      <c r="I20" s="13" t="s">
        <v>228</v>
      </c>
      <c r="J20" s="13" t="s">
        <v>228</v>
      </c>
      <c r="K20" s="13" t="s">
        <v>225</v>
      </c>
      <c r="L20" s="13" t="s">
        <v>225</v>
      </c>
      <c r="M20" s="13" t="s">
        <v>225</v>
      </c>
      <c r="N20" s="13" t="s">
        <v>225</v>
      </c>
      <c r="O20" s="13" t="s">
        <v>225</v>
      </c>
      <c r="P20" s="13" t="s">
        <v>225</v>
      </c>
      <c r="Q20" s="13" t="s">
        <v>225</v>
      </c>
      <c r="R20" s="13" t="s">
        <v>225</v>
      </c>
      <c r="S20" s="13" t="s">
        <v>1236</v>
      </c>
      <c r="T20" s="13" t="s">
        <v>225</v>
      </c>
      <c r="U20" s="13" t="s">
        <v>225</v>
      </c>
      <c r="V20" s="13" t="s">
        <v>225</v>
      </c>
      <c r="W20" s="13" t="s">
        <v>1289</v>
      </c>
      <c r="X20" s="13" t="s">
        <v>225</v>
      </c>
      <c r="Y20" s="13" t="s">
        <v>225</v>
      </c>
      <c r="Z20" s="13" t="s">
        <v>225</v>
      </c>
      <c r="AA20" s="17" t="s">
        <v>1290</v>
      </c>
      <c r="AB20" s="13" t="s">
        <v>225</v>
      </c>
      <c r="AC20" s="13" t="s">
        <v>225</v>
      </c>
      <c r="AD20" s="13" t="s">
        <v>1283</v>
      </c>
      <c r="AE20" s="13" t="s">
        <v>225</v>
      </c>
      <c r="AF20" t="s">
        <v>1269</v>
      </c>
    </row>
    <row r="21" spans="1:32" ht="36" customHeight="1" x14ac:dyDescent="0.25">
      <c r="A21" s="14" t="s">
        <v>1291</v>
      </c>
      <c r="B21" s="13" t="s">
        <v>1292</v>
      </c>
      <c r="C21" s="13" t="s">
        <v>1236</v>
      </c>
      <c r="D21" s="13" t="s">
        <v>1236</v>
      </c>
      <c r="E21" s="13" t="s">
        <v>1236</v>
      </c>
      <c r="F21" s="13" t="s">
        <v>1237</v>
      </c>
      <c r="G21" s="13" t="s">
        <v>1238</v>
      </c>
      <c r="H21" s="13" t="s">
        <v>1236</v>
      </c>
      <c r="I21" s="13" t="s">
        <v>228</v>
      </c>
      <c r="J21" s="13" t="s">
        <v>228</v>
      </c>
      <c r="K21" s="13" t="s">
        <v>1293</v>
      </c>
      <c r="L21" s="13" t="s">
        <v>1294</v>
      </c>
      <c r="M21" s="13" t="s">
        <v>1267</v>
      </c>
      <c r="N21" s="13" t="s">
        <v>225</v>
      </c>
      <c r="O21" s="13" t="s">
        <v>225</v>
      </c>
      <c r="P21" s="13" t="s">
        <v>225</v>
      </c>
      <c r="Q21" s="13" t="s">
        <v>225</v>
      </c>
      <c r="R21" s="13" t="s">
        <v>225</v>
      </c>
      <c r="S21" s="13" t="s">
        <v>1236</v>
      </c>
      <c r="T21" s="13" t="s">
        <v>1295</v>
      </c>
      <c r="U21" s="13" t="s">
        <v>225</v>
      </c>
      <c r="V21" s="13" t="s">
        <v>225</v>
      </c>
      <c r="W21" s="13" t="s">
        <v>225</v>
      </c>
      <c r="X21" s="13" t="s">
        <v>225</v>
      </c>
      <c r="Y21" s="13" t="s">
        <v>225</v>
      </c>
      <c r="Z21" s="13" t="s">
        <v>225</v>
      </c>
      <c r="AA21" s="17" t="s">
        <v>1296</v>
      </c>
      <c r="AB21" s="13" t="s">
        <v>225</v>
      </c>
      <c r="AC21" s="13" t="s">
        <v>225</v>
      </c>
      <c r="AD21" s="13" t="s">
        <v>225</v>
      </c>
      <c r="AE21" s="13" t="s">
        <v>1297</v>
      </c>
      <c r="AF21" t="s">
        <v>1298</v>
      </c>
    </row>
    <row r="22" spans="1:32" ht="36" customHeight="1" x14ac:dyDescent="0.25">
      <c r="A22" s="14" t="s">
        <v>1299</v>
      </c>
      <c r="B22" s="13" t="s">
        <v>1236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1300</v>
      </c>
      <c r="AB22" s="13"/>
      <c r="AC22" s="13"/>
      <c r="AD22" s="13"/>
      <c r="AE22" s="13"/>
      <c r="AF22" t="s">
        <v>1269</v>
      </c>
    </row>
    <row r="23" spans="1:32" ht="36" customHeight="1" x14ac:dyDescent="0.25">
      <c r="A23" s="14" t="s">
        <v>1301</v>
      </c>
      <c r="B23" s="13" t="s">
        <v>1302</v>
      </c>
      <c r="C23" s="13" t="s">
        <v>1236</v>
      </c>
      <c r="D23" s="13" t="s">
        <v>1236</v>
      </c>
      <c r="E23" s="13" t="s">
        <v>1236</v>
      </c>
      <c r="F23" s="13" t="s">
        <v>1303</v>
      </c>
      <c r="G23" s="13" t="s">
        <v>1238</v>
      </c>
      <c r="H23" s="13" t="s">
        <v>1236</v>
      </c>
      <c r="I23" s="13" t="s">
        <v>228</v>
      </c>
      <c r="J23" s="13" t="s">
        <v>228</v>
      </c>
      <c r="K23" s="13" t="s">
        <v>225</v>
      </c>
      <c r="L23" s="13" t="s">
        <v>225</v>
      </c>
      <c r="M23" s="13" t="s">
        <v>225</v>
      </c>
      <c r="N23" s="13" t="s">
        <v>225</v>
      </c>
      <c r="O23" s="13" t="s">
        <v>225</v>
      </c>
      <c r="P23" s="13" t="s">
        <v>225</v>
      </c>
      <c r="Q23" s="13" t="s">
        <v>225</v>
      </c>
      <c r="R23" s="13" t="s">
        <v>225</v>
      </c>
      <c r="S23" s="13" t="s">
        <v>1236</v>
      </c>
      <c r="T23" s="13" t="s">
        <v>225</v>
      </c>
      <c r="U23" s="13" t="s">
        <v>225</v>
      </c>
      <c r="V23" s="13" t="s">
        <v>225</v>
      </c>
      <c r="W23" s="13" t="s">
        <v>225</v>
      </c>
      <c r="X23" s="13" t="s">
        <v>225</v>
      </c>
      <c r="Y23" s="13" t="s">
        <v>225</v>
      </c>
      <c r="Z23" s="13" t="s">
        <v>225</v>
      </c>
      <c r="AA23" s="17" t="s">
        <v>1304</v>
      </c>
      <c r="AB23" s="13" t="s">
        <v>225</v>
      </c>
      <c r="AC23" s="13" t="s">
        <v>225</v>
      </c>
      <c r="AD23" s="13" t="s">
        <v>225</v>
      </c>
      <c r="AE23" s="13" t="s">
        <v>1305</v>
      </c>
      <c r="AF23" t="s">
        <v>1269</v>
      </c>
    </row>
    <row r="24" spans="1:32" ht="36" customHeight="1" x14ac:dyDescent="0.25">
      <c r="A24" s="14" t="s">
        <v>1306</v>
      </c>
      <c r="B24" s="13" t="s">
        <v>1307</v>
      </c>
      <c r="C24" s="13" t="s">
        <v>1236</v>
      </c>
      <c r="D24" s="13" t="s">
        <v>1236</v>
      </c>
      <c r="E24" s="13" t="s">
        <v>1236</v>
      </c>
      <c r="F24" s="13" t="s">
        <v>1237</v>
      </c>
      <c r="G24" s="13" t="s">
        <v>1238</v>
      </c>
      <c r="H24" s="13" t="s">
        <v>1236</v>
      </c>
      <c r="I24" s="13" t="s">
        <v>228</v>
      </c>
      <c r="J24" s="13" t="s">
        <v>228</v>
      </c>
      <c r="K24" s="13" t="s">
        <v>225</v>
      </c>
      <c r="L24" s="13" t="s">
        <v>225</v>
      </c>
      <c r="M24" s="13" t="s">
        <v>225</v>
      </c>
      <c r="N24" s="13" t="s">
        <v>225</v>
      </c>
      <c r="O24" s="13" t="s">
        <v>225</v>
      </c>
      <c r="P24" s="13" t="s">
        <v>225</v>
      </c>
      <c r="Q24" s="13" t="s">
        <v>225</v>
      </c>
      <c r="R24" s="13" t="s">
        <v>225</v>
      </c>
      <c r="S24" s="13" t="s">
        <v>1236</v>
      </c>
      <c r="T24" s="13" t="s">
        <v>225</v>
      </c>
      <c r="U24" s="13" t="s">
        <v>225</v>
      </c>
      <c r="V24" s="13" t="s">
        <v>225</v>
      </c>
      <c r="W24" s="13" t="s">
        <v>1308</v>
      </c>
      <c r="X24" s="13" t="s">
        <v>225</v>
      </c>
      <c r="Y24" s="13" t="s">
        <v>225</v>
      </c>
      <c r="Z24" s="13" t="s">
        <v>225</v>
      </c>
      <c r="AA24" s="17" t="s">
        <v>1309</v>
      </c>
      <c r="AB24" s="13" t="s">
        <v>225</v>
      </c>
      <c r="AC24" s="13" t="s">
        <v>225</v>
      </c>
      <c r="AD24" s="13" t="s">
        <v>225</v>
      </c>
      <c r="AE24" s="13" t="s">
        <v>1310</v>
      </c>
      <c r="AF24" t="s">
        <v>1269</v>
      </c>
    </row>
    <row r="25" spans="1:32" ht="36" customHeight="1" x14ac:dyDescent="0.25">
      <c r="A25" s="14" t="s">
        <v>1311</v>
      </c>
      <c r="B25" s="13" t="s">
        <v>1312</v>
      </c>
      <c r="C25" s="13" t="s">
        <v>1236</v>
      </c>
      <c r="D25" s="13" t="s">
        <v>1313</v>
      </c>
      <c r="E25" s="13" t="s">
        <v>1236</v>
      </c>
      <c r="F25" s="13" t="s">
        <v>1237</v>
      </c>
      <c r="G25" s="13" t="s">
        <v>251</v>
      </c>
      <c r="H25" s="13" t="s">
        <v>1236</v>
      </c>
      <c r="I25" s="13" t="s">
        <v>228</v>
      </c>
      <c r="J25" s="13" t="s">
        <v>228</v>
      </c>
      <c r="K25" s="13" t="s">
        <v>1314</v>
      </c>
      <c r="L25" s="13" t="s">
        <v>225</v>
      </c>
      <c r="M25" s="13" t="s">
        <v>1315</v>
      </c>
      <c r="N25" s="13" t="s">
        <v>1316</v>
      </c>
      <c r="O25" s="13" t="s">
        <v>225</v>
      </c>
      <c r="P25" s="13" t="s">
        <v>225</v>
      </c>
      <c r="Q25" s="13" t="s">
        <v>225</v>
      </c>
      <c r="R25" s="13" t="s">
        <v>225</v>
      </c>
      <c r="S25" s="13" t="s">
        <v>1236</v>
      </c>
      <c r="T25" s="13" t="s">
        <v>1317</v>
      </c>
      <c r="U25" s="13" t="s">
        <v>225</v>
      </c>
      <c r="V25" s="13" t="s">
        <v>225</v>
      </c>
      <c r="W25" s="13" t="s">
        <v>225</v>
      </c>
      <c r="X25" s="13" t="s">
        <v>225</v>
      </c>
      <c r="Y25" s="13" t="s">
        <v>225</v>
      </c>
      <c r="Z25" s="13" t="s">
        <v>225</v>
      </c>
      <c r="AA25" s="17" t="s">
        <v>1318</v>
      </c>
      <c r="AB25" s="13" t="s">
        <v>225</v>
      </c>
      <c r="AC25" s="13" t="s">
        <v>225</v>
      </c>
      <c r="AD25" s="13"/>
      <c r="AE25" s="13" t="s">
        <v>1316</v>
      </c>
      <c r="AF25" t="s">
        <v>1319</v>
      </c>
    </row>
    <row r="26" spans="1:32" ht="36" customHeight="1" x14ac:dyDescent="0.25">
      <c r="A26" s="14" t="s">
        <v>1320</v>
      </c>
      <c r="B26" s="13" t="s">
        <v>1321</v>
      </c>
      <c r="C26" s="13" t="s">
        <v>1236</v>
      </c>
      <c r="D26" s="13" t="s">
        <v>1236</v>
      </c>
      <c r="E26" s="13" t="s">
        <v>1236</v>
      </c>
      <c r="F26" s="13" t="s">
        <v>1237</v>
      </c>
      <c r="G26" s="13" t="s">
        <v>1265</v>
      </c>
      <c r="H26" s="13" t="s">
        <v>1236</v>
      </c>
      <c r="I26" s="13" t="s">
        <v>228</v>
      </c>
      <c r="J26" s="13" t="s">
        <v>228</v>
      </c>
      <c r="K26" s="13" t="s">
        <v>1257</v>
      </c>
      <c r="L26" s="13" t="s">
        <v>1266</v>
      </c>
      <c r="M26" s="13" t="s">
        <v>1267</v>
      </c>
      <c r="N26" s="13" t="s">
        <v>225</v>
      </c>
      <c r="O26" s="13" t="s">
        <v>225</v>
      </c>
      <c r="P26" s="13" t="s">
        <v>225</v>
      </c>
      <c r="Q26" s="13" t="s">
        <v>225</v>
      </c>
      <c r="R26" s="13" t="s">
        <v>225</v>
      </c>
      <c r="S26" s="13" t="s">
        <v>1236</v>
      </c>
      <c r="T26" s="13" t="s">
        <v>225</v>
      </c>
      <c r="U26" s="13" t="s">
        <v>225</v>
      </c>
      <c r="V26" s="13" t="s">
        <v>225</v>
      </c>
      <c r="W26" s="13" t="s">
        <v>225</v>
      </c>
      <c r="X26" s="13" t="s">
        <v>225</v>
      </c>
      <c r="Y26" s="13" t="s">
        <v>225</v>
      </c>
      <c r="Z26" s="13" t="s">
        <v>225</v>
      </c>
      <c r="AA26" s="17" t="s">
        <v>1322</v>
      </c>
      <c r="AB26" s="13" t="s">
        <v>225</v>
      </c>
      <c r="AC26" s="13" t="s">
        <v>225</v>
      </c>
      <c r="AD26" s="13" t="s">
        <v>225</v>
      </c>
      <c r="AE26" s="13"/>
      <c r="AF26" t="s">
        <v>1269</v>
      </c>
    </row>
    <row r="27" spans="1:32" ht="36" customHeight="1" x14ac:dyDescent="0.25">
      <c r="A27" s="14" t="s">
        <v>1323</v>
      </c>
      <c r="B27" s="13" t="s">
        <v>1324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 t="s">
        <v>1325</v>
      </c>
      <c r="AB27" s="13"/>
      <c r="AC27" s="13"/>
      <c r="AD27" s="13"/>
      <c r="AE27" s="13"/>
      <c r="AF27" t="s">
        <v>1269</v>
      </c>
    </row>
    <row r="28" spans="1:32" ht="36" customHeight="1" x14ac:dyDescent="0.25">
      <c r="A28" s="14" t="s">
        <v>1326</v>
      </c>
      <c r="B28" s="13" t="s">
        <v>1324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 t="s">
        <v>1327</v>
      </c>
      <c r="AB28" s="13"/>
      <c r="AC28" s="13"/>
      <c r="AD28" s="13"/>
      <c r="AE28" s="13"/>
      <c r="AF28" t="s">
        <v>1269</v>
      </c>
    </row>
  </sheetData>
  <mergeCells count="1">
    <mergeCell ref="A1:A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1"/>
  <sheetViews>
    <sheetView workbookViewId="0">
      <pane xSplit="2" ySplit="2" topLeftCell="X5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Directory'!A1","Extra Features — engagement, desktop, audio, and built-in community tools"),"Extra Features — engagement, desktop, audio, and built-in community tools")</f>
        <v>Extra Features — engagement, desktop, audio, and built-in community tools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1328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1329</v>
      </c>
      <c r="B4" s="13" t="s">
        <v>1330</v>
      </c>
      <c r="C4" s="13" t="s">
        <v>215</v>
      </c>
      <c r="D4" s="13"/>
      <c r="E4" s="13" t="s">
        <v>215</v>
      </c>
      <c r="F4" s="13"/>
      <c r="G4" s="13" t="s">
        <v>251</v>
      </c>
      <c r="H4" s="13" t="s">
        <v>1331</v>
      </c>
      <c r="I4" s="13" t="s">
        <v>1332</v>
      </c>
      <c r="J4" s="13" t="s">
        <v>1333</v>
      </c>
      <c r="K4" s="13" t="s">
        <v>1334</v>
      </c>
      <c r="L4" s="13" t="s">
        <v>1335</v>
      </c>
      <c r="M4" s="13" t="s">
        <v>1335</v>
      </c>
      <c r="N4" s="13" t="s">
        <v>1336</v>
      </c>
      <c r="O4" s="13" t="s">
        <v>1337</v>
      </c>
      <c r="P4" s="13"/>
      <c r="Q4" s="13"/>
      <c r="R4" s="13"/>
      <c r="S4" s="13"/>
      <c r="T4" s="13"/>
      <c r="U4" s="13"/>
      <c r="V4" s="13"/>
      <c r="W4" s="13"/>
      <c r="X4" s="13"/>
      <c r="Y4" s="13" t="s">
        <v>1338</v>
      </c>
      <c r="Z4" s="13"/>
      <c r="AA4" s="17" t="s">
        <v>1339</v>
      </c>
      <c r="AB4" s="13"/>
      <c r="AC4" s="13"/>
      <c r="AD4" s="13"/>
      <c r="AE4" s="13" t="s">
        <v>1340</v>
      </c>
      <c r="AF4" t="s">
        <v>1341</v>
      </c>
    </row>
    <row r="5" spans="1:32" ht="36" customHeight="1" x14ac:dyDescent="0.25">
      <c r="A5" s="14" t="s">
        <v>1342</v>
      </c>
      <c r="B5" s="13" t="s">
        <v>1343</v>
      </c>
      <c r="C5" s="13"/>
      <c r="D5" s="13"/>
      <c r="E5" s="13"/>
      <c r="F5" s="13"/>
      <c r="G5" s="13"/>
      <c r="H5" s="13"/>
      <c r="I5" s="13"/>
      <c r="J5" s="13" t="s">
        <v>1344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7" t="s">
        <v>1345</v>
      </c>
      <c r="AB5" s="13"/>
      <c r="AC5" s="13"/>
      <c r="AD5" s="13"/>
      <c r="AE5" s="13"/>
      <c r="AF5" t="s">
        <v>1346</v>
      </c>
    </row>
    <row r="6" spans="1:32" ht="36" customHeight="1" x14ac:dyDescent="0.25">
      <c r="A6" s="14" t="s">
        <v>1347</v>
      </c>
      <c r="B6" s="13" t="s">
        <v>1348</v>
      </c>
      <c r="C6" s="13" t="s">
        <v>1349</v>
      </c>
      <c r="D6" s="13"/>
      <c r="E6" s="13"/>
      <c r="F6" s="13"/>
      <c r="G6" s="13" t="s">
        <v>251</v>
      </c>
      <c r="H6" s="13"/>
      <c r="I6" s="13" t="s">
        <v>225</v>
      </c>
      <c r="J6" s="13"/>
      <c r="K6" s="13" t="s">
        <v>225</v>
      </c>
      <c r="L6" s="13" t="s">
        <v>1350</v>
      </c>
      <c r="M6" s="13" t="s">
        <v>1351</v>
      </c>
      <c r="N6" s="13" t="s">
        <v>1352</v>
      </c>
      <c r="O6" s="13" t="s">
        <v>225</v>
      </c>
      <c r="P6" s="13"/>
      <c r="Q6" s="13"/>
      <c r="R6" s="13"/>
      <c r="S6" s="13"/>
      <c r="T6" s="13"/>
      <c r="U6" s="13" t="s">
        <v>225</v>
      </c>
      <c r="V6" s="13"/>
      <c r="W6" s="13" t="s">
        <v>225</v>
      </c>
      <c r="X6" s="13" t="s">
        <v>225</v>
      </c>
      <c r="Y6" s="13" t="s">
        <v>225</v>
      </c>
      <c r="Z6" s="13"/>
      <c r="AA6" s="17" t="s">
        <v>215</v>
      </c>
      <c r="AB6" s="13" t="s">
        <v>225</v>
      </c>
      <c r="AC6" s="13" t="s">
        <v>225</v>
      </c>
      <c r="AD6" s="13" t="s">
        <v>225</v>
      </c>
      <c r="AE6" s="13" t="s">
        <v>225</v>
      </c>
      <c r="AF6" t="s">
        <v>1353</v>
      </c>
    </row>
    <row r="7" spans="1:32" ht="36" customHeight="1" x14ac:dyDescent="0.25">
      <c r="A7" s="14" t="s">
        <v>1354</v>
      </c>
      <c r="B7" s="13" t="s">
        <v>1355</v>
      </c>
      <c r="C7" s="13" t="s">
        <v>225</v>
      </c>
      <c r="D7" s="13"/>
      <c r="E7" s="13"/>
      <c r="F7" s="13"/>
      <c r="G7" s="13" t="s">
        <v>251</v>
      </c>
      <c r="H7" s="13"/>
      <c r="I7" s="13" t="s">
        <v>225</v>
      </c>
      <c r="J7" s="13"/>
      <c r="K7" s="13" t="s">
        <v>225</v>
      </c>
      <c r="L7" s="13" t="s">
        <v>225</v>
      </c>
      <c r="M7" s="13" t="s">
        <v>225</v>
      </c>
      <c r="N7" s="13"/>
      <c r="O7" s="13" t="s">
        <v>225</v>
      </c>
      <c r="P7" s="13"/>
      <c r="Q7" s="13"/>
      <c r="R7" s="13"/>
      <c r="S7" s="13"/>
      <c r="T7" s="13"/>
      <c r="U7" s="13" t="s">
        <v>225</v>
      </c>
      <c r="V7" s="13"/>
      <c r="W7" s="13" t="s">
        <v>225</v>
      </c>
      <c r="X7" s="13" t="s">
        <v>225</v>
      </c>
      <c r="Y7" s="13" t="s">
        <v>225</v>
      </c>
      <c r="Z7" s="13"/>
      <c r="AA7" s="17" t="s">
        <v>215</v>
      </c>
      <c r="AB7" s="13" t="s">
        <v>225</v>
      </c>
      <c r="AC7" s="13" t="s">
        <v>225</v>
      </c>
      <c r="AD7" s="13" t="s">
        <v>225</v>
      </c>
      <c r="AE7" s="13" t="s">
        <v>225</v>
      </c>
      <c r="AF7" t="s">
        <v>1356</v>
      </c>
    </row>
    <row r="8" spans="1:32" ht="36" customHeight="1" x14ac:dyDescent="0.25">
      <c r="A8" s="14" t="s">
        <v>1357</v>
      </c>
      <c r="B8" s="13" t="s">
        <v>1236</v>
      </c>
      <c r="C8" s="13"/>
      <c r="D8" s="13"/>
      <c r="E8" s="13"/>
      <c r="F8" s="13"/>
      <c r="G8" s="13"/>
      <c r="H8" s="13"/>
      <c r="I8" s="13"/>
      <c r="J8" s="13" t="s">
        <v>1358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215</v>
      </c>
      <c r="AB8" s="13"/>
      <c r="AC8" s="13"/>
      <c r="AD8" s="13"/>
      <c r="AE8" s="13"/>
      <c r="AF8" t="s">
        <v>1359</v>
      </c>
    </row>
    <row r="9" spans="1:32" ht="23.1" customHeight="1" x14ac:dyDescent="0.25">
      <c r="A9" s="15" t="s">
        <v>1360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</row>
    <row r="10" spans="1:32" ht="36" customHeight="1" x14ac:dyDescent="0.25">
      <c r="A10" s="14" t="s">
        <v>1361</v>
      </c>
      <c r="B10" s="13" t="s">
        <v>1362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1363</v>
      </c>
      <c r="AB10" s="13"/>
      <c r="AC10" s="13"/>
      <c r="AD10" s="13"/>
      <c r="AE10" s="13"/>
      <c r="AF10" t="s">
        <v>1364</v>
      </c>
    </row>
    <row r="11" spans="1:32" ht="36" customHeight="1" x14ac:dyDescent="0.25">
      <c r="A11" s="14" t="s">
        <v>1365</v>
      </c>
      <c r="B11" s="13" t="s">
        <v>1362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1366</v>
      </c>
      <c r="AB11" s="13"/>
      <c r="AC11" s="13"/>
      <c r="AD11" s="13"/>
      <c r="AE11" s="13"/>
      <c r="AF11" t="s">
        <v>1367</v>
      </c>
    </row>
    <row r="12" spans="1:32" ht="36" customHeight="1" x14ac:dyDescent="0.25">
      <c r="A12" s="14" t="s">
        <v>1368</v>
      </c>
      <c r="B12" s="13" t="s">
        <v>1369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215</v>
      </c>
      <c r="AB12" s="13"/>
      <c r="AC12" s="13"/>
      <c r="AD12" s="13"/>
      <c r="AE12" s="13"/>
    </row>
    <row r="13" spans="1:32" ht="36" customHeight="1" x14ac:dyDescent="0.25">
      <c r="A13" s="14" t="s">
        <v>1370</v>
      </c>
      <c r="B13" s="13" t="s">
        <v>1371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7" t="s">
        <v>1372</v>
      </c>
      <c r="AB13" s="13"/>
      <c r="AC13" s="13"/>
      <c r="AD13" s="13"/>
      <c r="AE13" s="13"/>
    </row>
    <row r="14" spans="1:32" ht="36" customHeight="1" x14ac:dyDescent="0.25">
      <c r="A14" s="14" t="s">
        <v>1373</v>
      </c>
      <c r="B14" s="13" t="s">
        <v>1374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215</v>
      </c>
      <c r="AB14" s="13"/>
      <c r="AC14" s="13"/>
      <c r="AD14" s="13"/>
      <c r="AE14" s="13"/>
    </row>
    <row r="15" spans="1:32" ht="36" customHeight="1" x14ac:dyDescent="0.25">
      <c r="A15" s="14" t="s">
        <v>1375</v>
      </c>
      <c r="B15" s="13" t="s">
        <v>1376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215</v>
      </c>
      <c r="AB15" s="13"/>
      <c r="AC15" s="13"/>
      <c r="AD15" s="13"/>
      <c r="AE15" s="13"/>
    </row>
    <row r="16" spans="1:32" ht="36" customHeight="1" x14ac:dyDescent="0.25">
      <c r="A16" s="14" t="s">
        <v>1377</v>
      </c>
      <c r="B16" s="13" t="s">
        <v>1378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215</v>
      </c>
      <c r="AB16" s="13"/>
      <c r="AC16" s="13"/>
      <c r="AD16" s="13"/>
      <c r="AE16" s="13"/>
    </row>
    <row r="17" spans="1:32" ht="23.1" customHeight="1" x14ac:dyDescent="0.25">
      <c r="A17" s="15" t="s">
        <v>1379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B17" s="15"/>
      <c r="AC17" s="15"/>
      <c r="AD17" s="15"/>
      <c r="AE17" s="15"/>
    </row>
    <row r="18" spans="1:32" ht="36" customHeight="1" x14ac:dyDescent="0.25">
      <c r="A18" s="14" t="s">
        <v>1326</v>
      </c>
      <c r="B18" s="13" t="s">
        <v>1380</v>
      </c>
      <c r="C18" s="13" t="s">
        <v>225</v>
      </c>
      <c r="D18" s="13" t="s">
        <v>225</v>
      </c>
      <c r="E18" s="13" t="s">
        <v>225</v>
      </c>
      <c r="F18" s="13" t="s">
        <v>1381</v>
      </c>
      <c r="G18" s="13" t="s">
        <v>251</v>
      </c>
      <c r="H18" s="13" t="s">
        <v>225</v>
      </c>
      <c r="I18" s="13" t="s">
        <v>225</v>
      </c>
      <c r="J18" s="13" t="s">
        <v>225</v>
      </c>
      <c r="K18" s="13" t="s">
        <v>225</v>
      </c>
      <c r="L18" s="13" t="s">
        <v>225</v>
      </c>
      <c r="M18" s="13" t="s">
        <v>225</v>
      </c>
      <c r="N18" s="13" t="s">
        <v>1382</v>
      </c>
      <c r="O18" s="13" t="s">
        <v>225</v>
      </c>
      <c r="P18" s="13" t="s">
        <v>225</v>
      </c>
      <c r="Q18" s="13" t="s">
        <v>225</v>
      </c>
      <c r="R18" s="13" t="s">
        <v>225</v>
      </c>
      <c r="S18" s="13" t="s">
        <v>225</v>
      </c>
      <c r="T18" s="13" t="s">
        <v>225</v>
      </c>
      <c r="U18" s="13" t="s">
        <v>225</v>
      </c>
      <c r="V18" s="13" t="s">
        <v>225</v>
      </c>
      <c r="W18" s="13" t="s">
        <v>225</v>
      </c>
      <c r="X18" s="13" t="s">
        <v>225</v>
      </c>
      <c r="Y18" s="13" t="s">
        <v>225</v>
      </c>
      <c r="Z18" s="13" t="s">
        <v>225</v>
      </c>
      <c r="AA18" s="17" t="s">
        <v>1383</v>
      </c>
      <c r="AB18" s="13" t="s">
        <v>225</v>
      </c>
      <c r="AC18" s="13" t="s">
        <v>225</v>
      </c>
      <c r="AD18" s="13" t="s">
        <v>225</v>
      </c>
      <c r="AE18" s="13" t="s">
        <v>1384</v>
      </c>
      <c r="AF18" t="s">
        <v>1269</v>
      </c>
    </row>
    <row r="19" spans="1:32" ht="36" customHeight="1" x14ac:dyDescent="0.25">
      <c r="A19" s="14" t="s">
        <v>1385</v>
      </c>
      <c r="B19" s="13" t="s">
        <v>1386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1387</v>
      </c>
      <c r="AB19" s="13"/>
      <c r="AC19" s="13"/>
      <c r="AD19" s="13"/>
      <c r="AE19" s="13"/>
      <c r="AF19" t="s">
        <v>1388</v>
      </c>
    </row>
    <row r="20" spans="1:32" ht="36" customHeight="1" x14ac:dyDescent="0.25">
      <c r="A20" s="14" t="s">
        <v>1389</v>
      </c>
      <c r="B20" s="13" t="s">
        <v>1390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 t="s">
        <v>1391</v>
      </c>
      <c r="AB20" s="13"/>
      <c r="AC20" s="13"/>
      <c r="AD20" s="13"/>
      <c r="AE20" s="13"/>
    </row>
    <row r="21" spans="1:32" ht="36" customHeight="1" x14ac:dyDescent="0.25">
      <c r="A21" s="14" t="s">
        <v>1392</v>
      </c>
      <c r="B21" s="13" t="s">
        <v>1393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1394</v>
      </c>
      <c r="AB21" s="13"/>
      <c r="AC21" s="13"/>
      <c r="AD21" s="13"/>
      <c r="AE21" s="13"/>
    </row>
  </sheetData>
  <mergeCells count="1">
    <mergeCell ref="A1:A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3"/>
  <sheetViews>
    <sheetView workbookViewId="0">
      <pane xSplit="2" ySplit="2" topLeftCell="U30" activePane="bottomRight" state="frozen"/>
      <selection pane="topRight" activeCell="C1" sqref="C1"/>
      <selection pane="bottomLeft" activeCell="A3" sqref="A3"/>
      <selection pane="bottomRight" activeCell="AA43" sqref="AA4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Directory'!A1","Embedded Apps &amp; Workspaces — in-client apps, widgets, layouts, shared experiences, and app ecosystems"),"Embedded Apps &amp; Workspaces — in-client apps, widgets, layouts, shared experiences, and app ecosystems")</f>
        <v>Embedded Apps &amp; Workspaces — in-client apps, widgets, layouts, shared experiences, and app ecosystems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1395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848</v>
      </c>
      <c r="B4" s="13" t="s">
        <v>1396</v>
      </c>
      <c r="C4" s="13"/>
      <c r="D4" s="13"/>
      <c r="E4" s="13"/>
      <c r="F4" s="13" t="s">
        <v>850</v>
      </c>
      <c r="G4" s="13" t="s">
        <v>1397</v>
      </c>
      <c r="H4" s="13"/>
      <c r="I4" s="13"/>
      <c r="J4" s="13"/>
      <c r="K4" s="13" t="s">
        <v>1398</v>
      </c>
      <c r="L4" s="13" t="s">
        <v>1399</v>
      </c>
      <c r="M4" s="13" t="s">
        <v>1400</v>
      </c>
      <c r="N4" s="13"/>
      <c r="O4" s="13"/>
      <c r="P4" s="13"/>
      <c r="Q4" s="13"/>
      <c r="R4" s="13"/>
      <c r="S4" s="13"/>
      <c r="T4" s="13"/>
      <c r="U4" s="13"/>
      <c r="V4" s="13"/>
      <c r="W4" s="13" t="s">
        <v>855</v>
      </c>
      <c r="X4" s="13"/>
      <c r="Y4" s="13"/>
      <c r="Z4" s="13"/>
      <c r="AA4" s="17" t="s">
        <v>1401</v>
      </c>
      <c r="AB4" s="13"/>
      <c r="AC4" s="13"/>
      <c r="AD4" s="13" t="s">
        <v>857</v>
      </c>
      <c r="AE4" s="13"/>
      <c r="AF4" t="s">
        <v>858</v>
      </c>
    </row>
    <row r="5" spans="1:32" ht="36" customHeight="1" x14ac:dyDescent="0.25">
      <c r="A5" s="14" t="s">
        <v>1402</v>
      </c>
      <c r="B5" s="13" t="s">
        <v>1403</v>
      </c>
      <c r="C5" s="13"/>
      <c r="D5" s="13"/>
      <c r="E5" s="13"/>
      <c r="F5" s="13"/>
      <c r="G5" s="13" t="s">
        <v>1404</v>
      </c>
      <c r="H5" s="13"/>
      <c r="I5" s="13"/>
      <c r="J5" s="13"/>
      <c r="K5" s="13" t="s">
        <v>1405</v>
      </c>
      <c r="L5" s="13" t="s">
        <v>1406</v>
      </c>
      <c r="M5" s="13" t="s">
        <v>1407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7"/>
      <c r="AB5" s="13"/>
      <c r="AC5" s="13"/>
      <c r="AD5" s="13"/>
      <c r="AE5" s="13"/>
      <c r="AF5" t="s">
        <v>1408</v>
      </c>
    </row>
    <row r="6" spans="1:32" ht="36" customHeight="1" x14ac:dyDescent="0.25">
      <c r="A6" s="14" t="s">
        <v>1409</v>
      </c>
      <c r="B6" s="13" t="s">
        <v>1410</v>
      </c>
      <c r="C6" s="13"/>
      <c r="D6" s="13"/>
      <c r="E6" s="13"/>
      <c r="F6" s="13"/>
      <c r="G6" s="13" t="s">
        <v>1411</v>
      </c>
      <c r="H6" s="13"/>
      <c r="I6" s="13"/>
      <c r="J6" s="13"/>
      <c r="K6" s="13" t="s">
        <v>1412</v>
      </c>
      <c r="L6" s="13" t="s">
        <v>1413</v>
      </c>
      <c r="M6" s="13" t="s">
        <v>1414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 t="s">
        <v>1415</v>
      </c>
      <c r="AB6" s="13"/>
      <c r="AC6" s="13"/>
      <c r="AD6" s="13"/>
      <c r="AE6" s="13"/>
      <c r="AF6" t="s">
        <v>1416</v>
      </c>
    </row>
    <row r="7" spans="1:32" ht="36" customHeight="1" x14ac:dyDescent="0.25">
      <c r="A7" s="14" t="s">
        <v>1417</v>
      </c>
      <c r="B7" s="13" t="s">
        <v>1418</v>
      </c>
      <c r="C7" s="13"/>
      <c r="D7" s="13"/>
      <c r="E7" s="13"/>
      <c r="F7" s="13"/>
      <c r="G7" s="13" t="s">
        <v>1419</v>
      </c>
      <c r="H7" s="13"/>
      <c r="I7" s="13"/>
      <c r="J7" s="13"/>
      <c r="K7" s="13" t="s">
        <v>1420</v>
      </c>
      <c r="L7" s="13" t="s">
        <v>1421</v>
      </c>
      <c r="M7" s="13" t="s">
        <v>1422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 t="s">
        <v>1423</v>
      </c>
      <c r="AB7" s="13"/>
      <c r="AC7" s="13"/>
      <c r="AD7" s="13"/>
      <c r="AE7" s="13"/>
      <c r="AF7" t="s">
        <v>1424</v>
      </c>
    </row>
    <row r="8" spans="1:32" ht="36" customHeight="1" x14ac:dyDescent="0.25">
      <c r="A8" s="14" t="s">
        <v>1425</v>
      </c>
      <c r="B8" s="13" t="s">
        <v>1426</v>
      </c>
      <c r="C8" s="13"/>
      <c r="D8" s="13"/>
      <c r="E8" s="13"/>
      <c r="F8" s="13"/>
      <c r="G8" s="13" t="s">
        <v>1427</v>
      </c>
      <c r="H8" s="13"/>
      <c r="I8" s="13"/>
      <c r="J8" s="13"/>
      <c r="K8" s="13" t="s">
        <v>1428</v>
      </c>
      <c r="L8" s="13" t="s">
        <v>1429</v>
      </c>
      <c r="M8" s="13" t="s">
        <v>1430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1431</v>
      </c>
      <c r="AB8" s="13"/>
      <c r="AC8" s="13"/>
      <c r="AD8" s="13"/>
      <c r="AE8" s="13"/>
      <c r="AF8" t="s">
        <v>1432</v>
      </c>
    </row>
    <row r="9" spans="1:32" ht="36" customHeight="1" x14ac:dyDescent="0.25">
      <c r="A9" s="14" t="s">
        <v>1433</v>
      </c>
      <c r="B9" s="13" t="s">
        <v>1434</v>
      </c>
      <c r="C9" s="13"/>
      <c r="D9" s="13"/>
      <c r="E9" s="13"/>
      <c r="F9" s="13"/>
      <c r="G9" s="13" t="s">
        <v>1435</v>
      </c>
      <c r="H9" s="13"/>
      <c r="I9" s="13"/>
      <c r="J9" s="13"/>
      <c r="K9" s="13" t="s">
        <v>1436</v>
      </c>
      <c r="L9" s="13" t="s">
        <v>1429</v>
      </c>
      <c r="M9" s="13" t="s">
        <v>1430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7" t="s">
        <v>1437</v>
      </c>
      <c r="AB9" s="13"/>
      <c r="AC9" s="13"/>
      <c r="AD9" s="13"/>
      <c r="AE9" s="13"/>
      <c r="AF9" t="s">
        <v>1438</v>
      </c>
    </row>
    <row r="10" spans="1:32" ht="36" customHeight="1" x14ac:dyDescent="0.25">
      <c r="A10" s="14" t="s">
        <v>1439</v>
      </c>
      <c r="B10" s="13" t="s">
        <v>1440</v>
      </c>
      <c r="C10" s="13"/>
      <c r="D10" s="13"/>
      <c r="E10" s="13"/>
      <c r="F10" s="13"/>
      <c r="G10" s="13" t="s">
        <v>1441</v>
      </c>
      <c r="H10" s="13"/>
      <c r="I10" s="13"/>
      <c r="J10" s="13"/>
      <c r="K10" s="13" t="s">
        <v>1442</v>
      </c>
      <c r="L10" s="13" t="s">
        <v>1443</v>
      </c>
      <c r="M10" s="13" t="s">
        <v>1444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1445</v>
      </c>
      <c r="AB10" s="13"/>
      <c r="AC10" s="13"/>
      <c r="AD10" s="13"/>
      <c r="AE10" s="13"/>
      <c r="AF10" t="s">
        <v>1446</v>
      </c>
    </row>
    <row r="11" spans="1:32" ht="23.1" customHeight="1" x14ac:dyDescent="0.25">
      <c r="A11" s="15" t="s">
        <v>1447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</row>
    <row r="12" spans="1:32" ht="36" customHeight="1" x14ac:dyDescent="0.25">
      <c r="A12" s="14" t="s">
        <v>1448</v>
      </c>
      <c r="B12" s="13" t="s">
        <v>1449</v>
      </c>
      <c r="C12" s="13"/>
      <c r="D12" s="13"/>
      <c r="E12" s="13"/>
      <c r="F12" s="13"/>
      <c r="G12" s="13" t="s">
        <v>251</v>
      </c>
      <c r="H12" s="13"/>
      <c r="I12" s="13"/>
      <c r="J12" s="13"/>
      <c r="K12" s="13"/>
      <c r="L12" s="13" t="s">
        <v>1429</v>
      </c>
      <c r="M12" s="13" t="s">
        <v>1430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215</v>
      </c>
      <c r="AB12" s="13"/>
      <c r="AC12" s="13"/>
      <c r="AD12" s="13"/>
      <c r="AE12" s="13"/>
      <c r="AF12" t="s">
        <v>1388</v>
      </c>
    </row>
    <row r="13" spans="1:32" ht="36" customHeight="1" x14ac:dyDescent="0.25">
      <c r="A13" s="14" t="s">
        <v>1450</v>
      </c>
      <c r="B13" s="13" t="s">
        <v>1451</v>
      </c>
      <c r="C13" s="13"/>
      <c r="D13" s="13"/>
      <c r="E13" s="13"/>
      <c r="F13" s="13"/>
      <c r="G13" s="13" t="s">
        <v>251</v>
      </c>
      <c r="H13" s="13"/>
      <c r="I13" s="13"/>
      <c r="J13" s="13"/>
      <c r="K13" s="13"/>
      <c r="L13" s="13" t="s">
        <v>1429</v>
      </c>
      <c r="M13" s="13" t="s">
        <v>1430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7" t="s">
        <v>1452</v>
      </c>
      <c r="AB13" s="13"/>
      <c r="AC13" s="13"/>
      <c r="AD13" s="13"/>
      <c r="AE13" s="13"/>
      <c r="AF13" t="s">
        <v>1388</v>
      </c>
    </row>
    <row r="14" spans="1:32" ht="36" customHeight="1" x14ac:dyDescent="0.25">
      <c r="A14" s="14" t="s">
        <v>1453</v>
      </c>
      <c r="B14" s="13" t="s">
        <v>1454</v>
      </c>
      <c r="C14" s="13"/>
      <c r="D14" s="13"/>
      <c r="E14" s="13"/>
      <c r="F14" s="13"/>
      <c r="G14" s="13" t="s">
        <v>251</v>
      </c>
      <c r="H14" s="13"/>
      <c r="I14" s="13"/>
      <c r="J14" s="13"/>
      <c r="K14" s="13"/>
      <c r="L14" s="13" t="s">
        <v>1455</v>
      </c>
      <c r="M14" s="13" t="s">
        <v>1455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215</v>
      </c>
      <c r="AB14" s="13"/>
      <c r="AC14" s="13"/>
      <c r="AD14" s="13"/>
      <c r="AE14" s="13"/>
      <c r="AF14" t="s">
        <v>1388</v>
      </c>
    </row>
    <row r="15" spans="1:32" ht="36" customHeight="1" x14ac:dyDescent="0.25">
      <c r="A15" s="14" t="s">
        <v>1456</v>
      </c>
      <c r="B15" s="13" t="s">
        <v>1457</v>
      </c>
      <c r="C15" s="13"/>
      <c r="D15" s="13"/>
      <c r="E15" s="13"/>
      <c r="F15" s="13"/>
      <c r="G15" s="13" t="s">
        <v>251</v>
      </c>
      <c r="H15" s="13"/>
      <c r="I15" s="13"/>
      <c r="J15" s="13"/>
      <c r="K15" s="13"/>
      <c r="L15" s="13" t="s">
        <v>1344</v>
      </c>
      <c r="M15" s="13" t="s">
        <v>1458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1459</v>
      </c>
      <c r="AB15" s="13"/>
      <c r="AC15" s="13"/>
      <c r="AD15" s="13"/>
      <c r="AE15" s="13"/>
      <c r="AF15" t="s">
        <v>1388</v>
      </c>
    </row>
    <row r="16" spans="1:32" ht="36" customHeight="1" x14ac:dyDescent="0.25">
      <c r="A16" s="14" t="s">
        <v>1460</v>
      </c>
      <c r="B16" s="13" t="s">
        <v>1461</v>
      </c>
      <c r="C16" s="13"/>
      <c r="D16" s="13"/>
      <c r="E16" s="13"/>
      <c r="F16" s="13"/>
      <c r="G16" s="13" t="s">
        <v>251</v>
      </c>
      <c r="H16" s="13"/>
      <c r="I16" s="13"/>
      <c r="J16" s="13"/>
      <c r="K16" s="13" t="s">
        <v>1462</v>
      </c>
      <c r="L16" s="13" t="s">
        <v>1463</v>
      </c>
      <c r="M16" s="13" t="s">
        <v>1464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1465</v>
      </c>
      <c r="AB16" s="13"/>
      <c r="AC16" s="13"/>
      <c r="AD16" s="13"/>
      <c r="AE16" s="13"/>
      <c r="AF16" t="s">
        <v>1388</v>
      </c>
    </row>
    <row r="17" spans="1:32" ht="36" customHeight="1" x14ac:dyDescent="0.25">
      <c r="A17" s="14" t="s">
        <v>1466</v>
      </c>
      <c r="B17" s="13" t="s">
        <v>1467</v>
      </c>
      <c r="C17" s="13"/>
      <c r="D17" s="13"/>
      <c r="E17" s="13"/>
      <c r="F17" s="13"/>
      <c r="G17" s="13" t="s">
        <v>1468</v>
      </c>
      <c r="H17" s="13"/>
      <c r="I17" s="13"/>
      <c r="J17" s="13"/>
      <c r="K17" s="13" t="s">
        <v>1469</v>
      </c>
      <c r="L17" s="13" t="s">
        <v>1470</v>
      </c>
      <c r="M17" s="13" t="s">
        <v>1471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1472</v>
      </c>
      <c r="AB17" s="13"/>
      <c r="AC17" s="13"/>
      <c r="AD17" s="13"/>
      <c r="AE17" s="13"/>
      <c r="AF17" t="s">
        <v>1388</v>
      </c>
    </row>
    <row r="18" spans="1:32" ht="23.1" customHeight="1" x14ac:dyDescent="0.25">
      <c r="A18" s="15" t="s">
        <v>1473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</row>
    <row r="19" spans="1:32" ht="36" customHeight="1" x14ac:dyDescent="0.25">
      <c r="A19" s="14" t="s">
        <v>1474</v>
      </c>
      <c r="B19" s="13" t="s">
        <v>1475</v>
      </c>
      <c r="C19" s="13"/>
      <c r="D19" s="13"/>
      <c r="E19" s="13"/>
      <c r="F19" s="13"/>
      <c r="G19" s="13" t="s">
        <v>1476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1477</v>
      </c>
      <c r="AB19" s="13"/>
      <c r="AC19" s="13"/>
      <c r="AD19" s="13"/>
      <c r="AE19" s="13"/>
      <c r="AF19" t="s">
        <v>1388</v>
      </c>
    </row>
    <row r="20" spans="1:32" ht="36" customHeight="1" x14ac:dyDescent="0.25">
      <c r="A20" s="14" t="s">
        <v>1478</v>
      </c>
      <c r="B20" s="13" t="s">
        <v>1479</v>
      </c>
      <c r="C20" s="13"/>
      <c r="D20" s="13"/>
      <c r="E20" s="13"/>
      <c r="F20" s="13"/>
      <c r="G20" s="13" t="s">
        <v>1476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 t="s">
        <v>1480</v>
      </c>
      <c r="AB20" s="13"/>
      <c r="AC20" s="13"/>
      <c r="AD20" s="13"/>
      <c r="AE20" s="13"/>
      <c r="AF20" t="s">
        <v>1388</v>
      </c>
    </row>
    <row r="21" spans="1:32" ht="36" customHeight="1" x14ac:dyDescent="0.25">
      <c r="A21" s="14" t="s">
        <v>1481</v>
      </c>
      <c r="B21" s="13" t="s">
        <v>1482</v>
      </c>
      <c r="C21" s="13"/>
      <c r="D21" s="13"/>
      <c r="E21" s="13"/>
      <c r="F21" s="13"/>
      <c r="G21" s="13" t="s">
        <v>1427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1483</v>
      </c>
      <c r="AB21" s="13"/>
      <c r="AC21" s="13"/>
      <c r="AD21" s="13"/>
      <c r="AE21" s="13"/>
      <c r="AF21" t="s">
        <v>1388</v>
      </c>
    </row>
    <row r="22" spans="1:32" ht="36" customHeight="1" x14ac:dyDescent="0.25">
      <c r="A22" s="14" t="s">
        <v>1484</v>
      </c>
      <c r="B22" s="13" t="s">
        <v>1378</v>
      </c>
      <c r="C22" s="13"/>
      <c r="D22" s="13"/>
      <c r="E22" s="13"/>
      <c r="F22" s="13"/>
      <c r="G22" s="13" t="s">
        <v>1427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1485</v>
      </c>
      <c r="AB22" s="13"/>
      <c r="AC22" s="13"/>
      <c r="AD22" s="13"/>
      <c r="AE22" s="13"/>
      <c r="AF22" t="s">
        <v>1388</v>
      </c>
    </row>
    <row r="23" spans="1:32" ht="36" customHeight="1" x14ac:dyDescent="0.25">
      <c r="A23" s="14" t="s">
        <v>1486</v>
      </c>
      <c r="B23" s="13" t="s">
        <v>1487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1488</v>
      </c>
      <c r="AB23" s="13"/>
      <c r="AC23" s="13"/>
      <c r="AD23" s="13"/>
      <c r="AE23" s="13"/>
      <c r="AF23" t="s">
        <v>1388</v>
      </c>
    </row>
    <row r="24" spans="1:32" ht="36" customHeight="1" x14ac:dyDescent="0.25">
      <c r="A24" s="14" t="s">
        <v>1489</v>
      </c>
      <c r="B24" s="13" t="s">
        <v>1490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1491</v>
      </c>
      <c r="AB24" s="13"/>
      <c r="AC24" s="13"/>
      <c r="AD24" s="13"/>
      <c r="AE24" s="13"/>
      <c r="AF24" t="s">
        <v>1388</v>
      </c>
    </row>
    <row r="25" spans="1:32" ht="36" customHeight="1" x14ac:dyDescent="0.25">
      <c r="A25" s="14" t="s">
        <v>1385</v>
      </c>
      <c r="B25" s="13" t="s">
        <v>1492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1387</v>
      </c>
      <c r="AB25" s="13"/>
      <c r="AC25" s="13"/>
      <c r="AD25" s="13"/>
      <c r="AE25" s="13"/>
      <c r="AF25" t="s">
        <v>1388</v>
      </c>
    </row>
    <row r="26" spans="1:32" ht="36" customHeight="1" x14ac:dyDescent="0.25">
      <c r="A26" s="14" t="s">
        <v>1493</v>
      </c>
      <c r="B26" s="13" t="s">
        <v>1475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7" t="s">
        <v>1494</v>
      </c>
      <c r="AB26" s="13"/>
      <c r="AC26" s="13"/>
      <c r="AD26" s="13"/>
      <c r="AE26" s="13"/>
      <c r="AF26" t="s">
        <v>1388</v>
      </c>
    </row>
    <row r="27" spans="1:32" ht="36" customHeight="1" x14ac:dyDescent="0.25">
      <c r="A27" s="14" t="s">
        <v>1495</v>
      </c>
      <c r="B27" s="13" t="s">
        <v>1496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 t="s">
        <v>1391</v>
      </c>
      <c r="AB27" s="13"/>
      <c r="AC27" s="13"/>
      <c r="AD27" s="13"/>
      <c r="AE27" s="13"/>
      <c r="AF27" t="s">
        <v>1388</v>
      </c>
    </row>
    <row r="28" spans="1:32" ht="23.1" customHeight="1" x14ac:dyDescent="0.25">
      <c r="A28" s="15" t="s">
        <v>1497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</row>
    <row r="29" spans="1:32" ht="36" customHeight="1" x14ac:dyDescent="0.25">
      <c r="A29" s="14" t="s">
        <v>1498</v>
      </c>
      <c r="B29" s="13" t="s">
        <v>1378</v>
      </c>
      <c r="C29" s="13"/>
      <c r="D29" s="13"/>
      <c r="E29" s="13"/>
      <c r="F29" s="13"/>
      <c r="G29" s="13" t="s">
        <v>1476</v>
      </c>
      <c r="H29" s="13"/>
      <c r="I29" s="13"/>
      <c r="J29" s="13"/>
      <c r="K29" s="13" t="s">
        <v>1499</v>
      </c>
      <c r="L29" s="13"/>
      <c r="M29" s="13" t="s">
        <v>1500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 t="s">
        <v>1501</v>
      </c>
      <c r="AB29" s="13"/>
      <c r="AC29" s="13"/>
      <c r="AD29" s="13"/>
      <c r="AE29" s="13"/>
      <c r="AF29" t="s">
        <v>1388</v>
      </c>
    </row>
    <row r="30" spans="1:32" ht="36" customHeight="1" x14ac:dyDescent="0.25">
      <c r="A30" s="14" t="s">
        <v>1317</v>
      </c>
      <c r="B30" s="13" t="s">
        <v>1502</v>
      </c>
      <c r="C30" s="13"/>
      <c r="D30" s="13"/>
      <c r="E30" s="13"/>
      <c r="F30" s="13"/>
      <c r="G30" s="13" t="s">
        <v>1503</v>
      </c>
      <c r="H30" s="13"/>
      <c r="I30" s="13"/>
      <c r="J30" s="13"/>
      <c r="K30" s="13" t="s">
        <v>1504</v>
      </c>
      <c r="L30" s="13"/>
      <c r="M30" s="13" t="s">
        <v>1500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7" t="s">
        <v>1505</v>
      </c>
      <c r="AB30" s="13"/>
      <c r="AC30" s="13"/>
      <c r="AD30" s="13"/>
      <c r="AE30" s="13"/>
      <c r="AF30" t="s">
        <v>1388</v>
      </c>
    </row>
    <row r="31" spans="1:32" ht="36" customHeight="1" x14ac:dyDescent="0.25">
      <c r="A31" s="14" t="s">
        <v>1506</v>
      </c>
      <c r="B31" s="13" t="s">
        <v>1378</v>
      </c>
      <c r="C31" s="13"/>
      <c r="D31" s="13"/>
      <c r="E31" s="13"/>
      <c r="F31" s="13"/>
      <c r="G31" s="13"/>
      <c r="H31" s="13"/>
      <c r="I31" s="13"/>
      <c r="J31" s="13"/>
      <c r="K31" s="13" t="s">
        <v>1507</v>
      </c>
      <c r="L31" s="13" t="s">
        <v>844</v>
      </c>
      <c r="M31" s="13" t="s">
        <v>1267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7" t="s">
        <v>1508</v>
      </c>
      <c r="AB31" s="13"/>
      <c r="AC31" s="13"/>
      <c r="AD31" s="13"/>
      <c r="AE31" s="13"/>
      <c r="AF31" t="s">
        <v>1388</v>
      </c>
    </row>
    <row r="32" spans="1:32" ht="36" customHeight="1" x14ac:dyDescent="0.25">
      <c r="A32" s="14" t="s">
        <v>1509</v>
      </c>
      <c r="B32" s="13" t="s">
        <v>1510</v>
      </c>
      <c r="C32" s="13"/>
      <c r="D32" s="13"/>
      <c r="E32" s="13"/>
      <c r="F32" s="13"/>
      <c r="G32" s="13" t="s">
        <v>1511</v>
      </c>
      <c r="H32" s="13"/>
      <c r="I32" s="13"/>
      <c r="J32" s="13"/>
      <c r="K32" s="13" t="s">
        <v>1512</v>
      </c>
      <c r="L32" s="13"/>
      <c r="M32" s="13" t="s">
        <v>1510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 t="s">
        <v>1513</v>
      </c>
      <c r="AB32" s="13"/>
      <c r="AC32" s="13"/>
      <c r="AD32" s="13"/>
      <c r="AE32" s="13"/>
      <c r="AF32" t="s">
        <v>1388</v>
      </c>
    </row>
    <row r="33" spans="1:32" ht="36" customHeight="1" x14ac:dyDescent="0.25">
      <c r="A33" s="14" t="s">
        <v>1514</v>
      </c>
      <c r="B33" s="13" t="s">
        <v>1378</v>
      </c>
      <c r="C33" s="13"/>
      <c r="D33" s="13"/>
      <c r="E33" s="13"/>
      <c r="F33" s="13"/>
      <c r="G33" s="13" t="s">
        <v>1427</v>
      </c>
      <c r="H33" s="13"/>
      <c r="I33" s="13"/>
      <c r="J33" s="13"/>
      <c r="K33" s="13" t="s">
        <v>1515</v>
      </c>
      <c r="L33" s="13"/>
      <c r="M33" s="13" t="s">
        <v>1500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 t="s">
        <v>1516</v>
      </c>
      <c r="AB33" s="13"/>
      <c r="AC33" s="13"/>
      <c r="AD33" s="13"/>
      <c r="AE33" s="13"/>
      <c r="AF33" t="s">
        <v>1388</v>
      </c>
    </row>
    <row r="34" spans="1:32" ht="36" customHeight="1" x14ac:dyDescent="0.25">
      <c r="A34" s="14" t="s">
        <v>1517</v>
      </c>
      <c r="B34" s="13" t="s">
        <v>1378</v>
      </c>
      <c r="C34" s="13"/>
      <c r="D34" s="13"/>
      <c r="E34" s="13"/>
      <c r="F34" s="13"/>
      <c r="G34" s="13" t="s">
        <v>1427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 t="s">
        <v>1518</v>
      </c>
      <c r="AB34" s="13"/>
      <c r="AC34" s="13"/>
      <c r="AD34" s="13"/>
      <c r="AE34" s="13"/>
      <c r="AF34" t="s">
        <v>1388</v>
      </c>
    </row>
    <row r="35" spans="1:32" ht="36" customHeight="1" x14ac:dyDescent="0.25">
      <c r="A35" s="14" t="s">
        <v>1519</v>
      </c>
      <c r="B35" s="13" t="s">
        <v>1520</v>
      </c>
      <c r="C35" s="13"/>
      <c r="D35" s="13"/>
      <c r="E35" s="13"/>
      <c r="F35" s="13"/>
      <c r="G35" s="13" t="s">
        <v>1521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1522</v>
      </c>
      <c r="AB35" s="13"/>
      <c r="AC35" s="13"/>
      <c r="AD35" s="13"/>
      <c r="AE35" s="13"/>
      <c r="AF35" t="s">
        <v>1388</v>
      </c>
    </row>
    <row r="36" spans="1:32" ht="36" customHeight="1" x14ac:dyDescent="0.25">
      <c r="A36" s="14" t="s">
        <v>1523</v>
      </c>
      <c r="B36" s="13" t="s">
        <v>1267</v>
      </c>
      <c r="C36" s="13"/>
      <c r="D36" s="13"/>
      <c r="E36" s="13"/>
      <c r="F36" s="13"/>
      <c r="G36" s="13" t="s">
        <v>1427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1524</v>
      </c>
      <c r="AB36" s="13"/>
      <c r="AC36" s="13"/>
      <c r="AD36" s="13"/>
      <c r="AE36" s="13"/>
      <c r="AF36" t="s">
        <v>1388</v>
      </c>
    </row>
    <row r="37" spans="1:32" ht="36" customHeight="1" x14ac:dyDescent="0.25">
      <c r="A37" s="14" t="s">
        <v>1525</v>
      </c>
      <c r="B37" s="13" t="s">
        <v>1378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 t="s">
        <v>1526</v>
      </c>
      <c r="AB37" s="13"/>
      <c r="AC37" s="13"/>
      <c r="AD37" s="13"/>
      <c r="AE37" s="13"/>
      <c r="AF37" t="s">
        <v>1388</v>
      </c>
    </row>
    <row r="38" spans="1:32" ht="36" customHeight="1" x14ac:dyDescent="0.25">
      <c r="A38" s="14" t="s">
        <v>1527</v>
      </c>
      <c r="B38" s="13" t="s">
        <v>1528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 t="s">
        <v>1529</v>
      </c>
      <c r="AB38" s="13"/>
      <c r="AC38" s="13"/>
      <c r="AD38" s="13"/>
      <c r="AE38" s="13"/>
      <c r="AF38" t="s">
        <v>1388</v>
      </c>
    </row>
    <row r="39" spans="1:32" ht="23.1" customHeight="1" x14ac:dyDescent="0.25">
      <c r="A39" s="15" t="s">
        <v>1530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  <c r="AB39" s="15"/>
      <c r="AC39" s="15"/>
      <c r="AD39" s="15"/>
      <c r="AE39" s="15"/>
    </row>
    <row r="40" spans="1:32" ht="36" customHeight="1" x14ac:dyDescent="0.25">
      <c r="A40" s="14" t="s">
        <v>1531</v>
      </c>
      <c r="B40" s="13" t="s">
        <v>1532</v>
      </c>
      <c r="C40" s="13"/>
      <c r="D40" s="13"/>
      <c r="E40" s="13"/>
      <c r="F40" s="13"/>
      <c r="G40" s="13" t="s">
        <v>1533</v>
      </c>
      <c r="H40" s="13"/>
      <c r="I40" s="13"/>
      <c r="J40" s="13"/>
      <c r="K40" s="13" t="s">
        <v>1534</v>
      </c>
      <c r="L40" s="13" t="s">
        <v>1535</v>
      </c>
      <c r="M40" s="13" t="s">
        <v>1536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7" t="s">
        <v>228</v>
      </c>
      <c r="AB40" s="13"/>
      <c r="AC40" s="13"/>
      <c r="AD40" s="13"/>
      <c r="AE40" s="13"/>
      <c r="AF40" t="s">
        <v>1537</v>
      </c>
    </row>
    <row r="41" spans="1:32" ht="36" customHeight="1" x14ac:dyDescent="0.25">
      <c r="A41" s="14" t="s">
        <v>1538</v>
      </c>
      <c r="B41" s="13" t="s">
        <v>1539</v>
      </c>
      <c r="C41" s="13"/>
      <c r="D41" s="13"/>
      <c r="E41" s="13"/>
      <c r="F41" s="13"/>
      <c r="G41" s="13" t="s">
        <v>1540</v>
      </c>
      <c r="H41" s="13"/>
      <c r="I41" s="13"/>
      <c r="J41" s="13"/>
      <c r="K41" s="13" t="s">
        <v>1541</v>
      </c>
      <c r="L41" s="13" t="s">
        <v>1542</v>
      </c>
      <c r="M41" s="13" t="s">
        <v>1543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7" t="s">
        <v>228</v>
      </c>
      <c r="AB41" s="13"/>
      <c r="AC41" s="13"/>
      <c r="AD41" s="13"/>
      <c r="AE41" s="13"/>
      <c r="AF41" t="s">
        <v>1544</v>
      </c>
    </row>
    <row r="42" spans="1:32" ht="36" customHeight="1" x14ac:dyDescent="0.25">
      <c r="A42" s="14" t="s">
        <v>1545</v>
      </c>
      <c r="B42" s="13" t="s">
        <v>1546</v>
      </c>
      <c r="C42" s="13"/>
      <c r="D42" s="13"/>
      <c r="E42" s="13"/>
      <c r="F42" s="13"/>
      <c r="G42" s="13" t="s">
        <v>1547</v>
      </c>
      <c r="H42" s="13"/>
      <c r="I42" s="13"/>
      <c r="J42" s="13"/>
      <c r="K42" s="13" t="s">
        <v>1548</v>
      </c>
      <c r="L42" s="13" t="s">
        <v>1549</v>
      </c>
      <c r="M42" s="13" t="s">
        <v>1550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7" t="s">
        <v>5877</v>
      </c>
      <c r="AB42" s="13"/>
      <c r="AC42" s="13"/>
      <c r="AD42" s="13"/>
      <c r="AE42" s="13"/>
      <c r="AF42" t="s">
        <v>1551</v>
      </c>
    </row>
    <row r="43" spans="1:32" ht="36" customHeight="1" x14ac:dyDescent="0.25">
      <c r="A43" s="14" t="s">
        <v>1552</v>
      </c>
      <c r="B43" s="13" t="s">
        <v>1553</v>
      </c>
      <c r="C43" s="13"/>
      <c r="D43" s="13"/>
      <c r="E43" s="13"/>
      <c r="F43" s="13"/>
      <c r="G43" s="13" t="s">
        <v>1554</v>
      </c>
      <c r="H43" s="13"/>
      <c r="I43" s="13"/>
      <c r="J43" s="13"/>
      <c r="K43" s="13" t="s">
        <v>1555</v>
      </c>
      <c r="L43" s="13" t="s">
        <v>1556</v>
      </c>
      <c r="M43" s="13" t="s">
        <v>1557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7" t="s">
        <v>1558</v>
      </c>
      <c r="AB43" s="13"/>
      <c r="AC43" s="13"/>
      <c r="AD43" s="13"/>
      <c r="AE43" s="13"/>
      <c r="AF43" t="s">
        <v>1559</v>
      </c>
    </row>
  </sheetData>
  <mergeCells count="1">
    <mergeCell ref="A1:A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xSplit="2" ySplit="2" topLeftCell="X23" activePane="bottomRight" state="frozen"/>
      <selection pane="topRight" activeCell="C1" sqref="C1"/>
      <selection pane="bottomLeft" activeCell="A3" sqref="A3"/>
      <selection pane="bottomRight" activeCell="AA39" sqref="AA39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Directory'!A1","Community, Channel &amp; Usage Limits"),"Community, Channel &amp; Usage Limits")</f>
        <v>Community, Channel &amp; Usage Limits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1560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1561</v>
      </c>
      <c r="B4" s="13" t="s">
        <v>1562</v>
      </c>
      <c r="C4" s="13"/>
      <c r="D4" s="13"/>
      <c r="E4" s="13" t="s">
        <v>1562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7" t="s">
        <v>1563</v>
      </c>
      <c r="AB4" s="13"/>
      <c r="AC4" s="13"/>
      <c r="AD4" s="13"/>
      <c r="AE4" s="13"/>
    </row>
    <row r="5" spans="1:32" ht="36" customHeight="1" x14ac:dyDescent="0.25">
      <c r="A5" s="14" t="s">
        <v>1564</v>
      </c>
      <c r="B5" s="13" t="s">
        <v>1565</v>
      </c>
      <c r="C5" s="13"/>
      <c r="D5" s="13"/>
      <c r="E5" s="13" t="s">
        <v>1566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7" t="s">
        <v>1567</v>
      </c>
      <c r="AB5" s="13"/>
      <c r="AC5" s="13"/>
      <c r="AD5" s="13"/>
      <c r="AE5" s="13"/>
    </row>
    <row r="6" spans="1:32" ht="36" customHeight="1" x14ac:dyDescent="0.25">
      <c r="A6" s="14" t="s">
        <v>1568</v>
      </c>
      <c r="B6" s="13"/>
      <c r="C6" s="13"/>
      <c r="D6" s="13"/>
      <c r="E6" s="13"/>
      <c r="F6" s="13"/>
      <c r="G6" s="13"/>
      <c r="H6" s="13"/>
      <c r="I6" s="13"/>
      <c r="J6" s="13" t="s">
        <v>1569</v>
      </c>
      <c r="K6" s="13"/>
      <c r="L6" s="13"/>
      <c r="M6" s="13"/>
      <c r="N6" s="13" t="s">
        <v>1562</v>
      </c>
      <c r="O6" s="13"/>
      <c r="P6" s="13"/>
      <c r="Q6" s="13"/>
      <c r="R6" s="13"/>
      <c r="S6" s="13" t="s">
        <v>1570</v>
      </c>
      <c r="T6" s="13"/>
      <c r="U6" s="13"/>
      <c r="V6" s="13"/>
      <c r="W6" s="13"/>
      <c r="X6" s="13"/>
      <c r="Y6" s="13"/>
      <c r="Z6" s="13"/>
      <c r="AA6" s="17" t="s">
        <v>1571</v>
      </c>
      <c r="AB6" s="13"/>
      <c r="AC6" s="13"/>
      <c r="AD6" s="13"/>
      <c r="AE6" s="13" t="s">
        <v>1572</v>
      </c>
    </row>
    <row r="7" spans="1:32" ht="36" customHeight="1" x14ac:dyDescent="0.25">
      <c r="A7" s="14" t="s">
        <v>1573</v>
      </c>
      <c r="B7" s="13"/>
      <c r="C7" s="13"/>
      <c r="D7" s="13"/>
      <c r="E7" s="13"/>
      <c r="F7" s="13"/>
      <c r="G7" s="13"/>
      <c r="H7" s="13"/>
      <c r="I7" s="13"/>
      <c r="J7" s="13" t="s">
        <v>1574</v>
      </c>
      <c r="K7" s="13"/>
      <c r="L7" s="13"/>
      <c r="M7" s="13"/>
      <c r="N7" s="13" t="s">
        <v>1575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 t="s">
        <v>1571</v>
      </c>
      <c r="AB7" s="13"/>
      <c r="AC7" s="13"/>
      <c r="AD7" s="13"/>
      <c r="AE7" s="13"/>
    </row>
    <row r="8" spans="1:32" ht="36" customHeight="1" x14ac:dyDescent="0.25">
      <c r="A8" s="14" t="s">
        <v>1576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 t="s">
        <v>1577</v>
      </c>
      <c r="O8" s="13"/>
      <c r="P8" s="13"/>
      <c r="Q8" s="13"/>
      <c r="R8" s="13"/>
      <c r="S8" s="13" t="s">
        <v>1578</v>
      </c>
      <c r="T8" s="13"/>
      <c r="U8" s="13"/>
      <c r="V8" s="13"/>
      <c r="W8" s="13"/>
      <c r="X8" s="13"/>
      <c r="Y8" s="13"/>
      <c r="Z8" s="13"/>
      <c r="AA8" s="17" t="s">
        <v>215</v>
      </c>
      <c r="AB8" s="13"/>
      <c r="AC8" s="13"/>
      <c r="AD8" s="13"/>
      <c r="AE8" s="13" t="s">
        <v>1579</v>
      </c>
    </row>
    <row r="9" spans="1:32" ht="23.1" customHeight="1" x14ac:dyDescent="0.25">
      <c r="A9" s="15" t="s">
        <v>1580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</row>
    <row r="10" spans="1:32" ht="36" customHeight="1" x14ac:dyDescent="0.25">
      <c r="A10" s="14" t="s">
        <v>1581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1571</v>
      </c>
      <c r="AB10" s="13"/>
      <c r="AC10" s="13"/>
      <c r="AD10" s="13"/>
      <c r="AE10" s="13"/>
    </row>
    <row r="11" spans="1:32" ht="36" customHeight="1" x14ac:dyDescent="0.25">
      <c r="A11" s="14" t="s">
        <v>1582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 t="s">
        <v>1583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1571</v>
      </c>
      <c r="AB11" s="13"/>
      <c r="AC11" s="13"/>
      <c r="AD11" s="13"/>
      <c r="AE11" s="13"/>
    </row>
    <row r="12" spans="1:32" ht="36" customHeight="1" x14ac:dyDescent="0.25">
      <c r="A12" s="14" t="s">
        <v>1584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1571</v>
      </c>
      <c r="AB12" s="13"/>
      <c r="AC12" s="13"/>
      <c r="AD12" s="13"/>
      <c r="AE12" s="13"/>
    </row>
    <row r="13" spans="1:32" ht="23.1" customHeight="1" x14ac:dyDescent="0.25">
      <c r="A13" s="15" t="s">
        <v>1585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</row>
    <row r="14" spans="1:32" ht="23.1" customHeight="1" x14ac:dyDescent="0.25">
      <c r="A14" s="15" t="s">
        <v>1586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15"/>
      <c r="AC14" s="15"/>
      <c r="AD14" s="15"/>
      <c r="AE14" s="15"/>
    </row>
    <row r="15" spans="1:32" ht="23.1" customHeight="1" x14ac:dyDescent="0.25">
      <c r="A15" s="15" t="s">
        <v>1587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5"/>
      <c r="AC15" s="15"/>
      <c r="AD15" s="15"/>
      <c r="AE15" s="15"/>
    </row>
    <row r="16" spans="1:32" ht="36" customHeight="1" x14ac:dyDescent="0.25">
      <c r="A16" s="14" t="s">
        <v>1588</v>
      </c>
      <c r="B16" s="13" t="s">
        <v>1589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 t="s">
        <v>607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1590</v>
      </c>
      <c r="AB16" s="13"/>
      <c r="AC16" s="13"/>
      <c r="AD16" s="13"/>
      <c r="AE16" s="13"/>
    </row>
    <row r="17" spans="1:32" ht="36" customHeight="1" x14ac:dyDescent="0.25">
      <c r="A17" s="14" t="s">
        <v>1591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 t="s">
        <v>1592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1593</v>
      </c>
      <c r="AB17" s="13"/>
      <c r="AC17" s="13"/>
      <c r="AD17" s="13"/>
      <c r="AE17" s="13"/>
    </row>
    <row r="18" spans="1:32" ht="36" customHeight="1" x14ac:dyDescent="0.25">
      <c r="A18" s="14" t="s">
        <v>1594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 t="s">
        <v>1595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 t="s">
        <v>1596</v>
      </c>
      <c r="AB18" s="13"/>
      <c r="AC18" s="13"/>
      <c r="AD18" s="13"/>
      <c r="AE18" s="13"/>
    </row>
    <row r="19" spans="1:32" ht="36" customHeight="1" x14ac:dyDescent="0.25">
      <c r="A19" s="14" t="s">
        <v>1597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 t="s">
        <v>1598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1599</v>
      </c>
      <c r="AB19" s="13"/>
      <c r="AC19" s="13"/>
      <c r="AD19" s="13"/>
      <c r="AE19" s="13"/>
    </row>
    <row r="20" spans="1:32" ht="23.1" customHeight="1" x14ac:dyDescent="0.25">
      <c r="A20" s="15" t="s">
        <v>1600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15"/>
      <c r="AC20" s="15"/>
      <c r="AD20" s="15"/>
      <c r="AE20" s="15"/>
    </row>
    <row r="21" spans="1:32" ht="23.1" customHeight="1" x14ac:dyDescent="0.25">
      <c r="A21" s="15" t="s">
        <v>1601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</row>
    <row r="22" spans="1:32" ht="23.1" customHeight="1" x14ac:dyDescent="0.25">
      <c r="A22" s="15" t="s">
        <v>1602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5"/>
      <c r="AC22" s="15"/>
      <c r="AD22" s="15"/>
      <c r="AE22" s="15"/>
    </row>
    <row r="23" spans="1:32" ht="36" customHeight="1" x14ac:dyDescent="0.25">
      <c r="A23" s="14" t="s">
        <v>1603</v>
      </c>
      <c r="B23" s="13" t="s">
        <v>1604</v>
      </c>
      <c r="C23" s="13"/>
      <c r="D23" s="13"/>
      <c r="E23" s="13" t="s">
        <v>1604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1605</v>
      </c>
      <c r="AB23" s="13"/>
      <c r="AC23" s="13"/>
      <c r="AD23" s="13"/>
      <c r="AE23" s="13"/>
    </row>
    <row r="24" spans="1:32" ht="36" customHeight="1" x14ac:dyDescent="0.25">
      <c r="A24" s="14" t="s">
        <v>1606</v>
      </c>
      <c r="B24" s="13" t="s">
        <v>1607</v>
      </c>
      <c r="C24" s="13"/>
      <c r="D24" s="13"/>
      <c r="E24" s="13" t="s">
        <v>1608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1609</v>
      </c>
      <c r="AB24" s="13"/>
      <c r="AC24" s="13"/>
      <c r="AD24" s="13"/>
      <c r="AE24" s="13"/>
    </row>
    <row r="25" spans="1:32" ht="36" customHeight="1" x14ac:dyDescent="0.25">
      <c r="A25" s="14" t="s">
        <v>1610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 t="s">
        <v>610</v>
      </c>
      <c r="T25" s="13"/>
      <c r="U25" s="13"/>
      <c r="V25" s="13"/>
      <c r="W25" s="13"/>
      <c r="X25" s="13"/>
      <c r="Y25" s="13"/>
      <c r="Z25" s="13"/>
      <c r="AA25" s="17"/>
      <c r="AB25" s="13"/>
      <c r="AC25" s="13"/>
      <c r="AD25" s="13"/>
      <c r="AE25" s="13"/>
    </row>
    <row r="26" spans="1:32" ht="36" customHeight="1" x14ac:dyDescent="0.25">
      <c r="A26" s="14" t="s">
        <v>1611</v>
      </c>
      <c r="B26" s="13" t="s">
        <v>1612</v>
      </c>
      <c r="C26" s="13"/>
      <c r="D26" s="13"/>
      <c r="E26" s="13"/>
      <c r="F26" s="13"/>
      <c r="G26" s="13" t="s">
        <v>251</v>
      </c>
      <c r="H26" s="13"/>
      <c r="I26" s="13" t="s">
        <v>225</v>
      </c>
      <c r="J26" s="13"/>
      <c r="K26" s="13" t="s">
        <v>300</v>
      </c>
      <c r="L26" s="13" t="s">
        <v>215</v>
      </c>
      <c r="M26" s="13" t="s">
        <v>300</v>
      </c>
      <c r="N26" s="13"/>
      <c r="O26" s="13"/>
      <c r="P26" s="13"/>
      <c r="Q26" s="13"/>
      <c r="R26" s="13"/>
      <c r="S26" s="13"/>
      <c r="T26" s="13"/>
      <c r="U26" s="13" t="s">
        <v>225</v>
      </c>
      <c r="V26" s="13"/>
      <c r="W26" s="13" t="s">
        <v>228</v>
      </c>
      <c r="X26" s="13"/>
      <c r="Y26" s="13" t="s">
        <v>225</v>
      </c>
      <c r="Z26" s="13"/>
      <c r="AA26" s="17"/>
      <c r="AB26" s="13"/>
      <c r="AC26" s="13"/>
      <c r="AD26" s="13"/>
      <c r="AE26" s="13"/>
      <c r="AF26" t="s">
        <v>1346</v>
      </c>
    </row>
    <row r="27" spans="1:32" ht="36" customHeight="1" x14ac:dyDescent="0.25">
      <c r="A27" s="14" t="s">
        <v>1613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/>
      <c r="AB27" s="13" t="s">
        <v>606</v>
      </c>
      <c r="AC27" s="13"/>
      <c r="AD27" s="13"/>
      <c r="AE27" s="13"/>
      <c r="AF27" t="s">
        <v>1346</v>
      </c>
    </row>
    <row r="28" spans="1:32" ht="23.1" customHeight="1" x14ac:dyDescent="0.25">
      <c r="A28" s="15" t="s">
        <v>1614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</row>
    <row r="29" spans="1:32" ht="23.1" customHeight="1" x14ac:dyDescent="0.25">
      <c r="A29" s="15" t="s">
        <v>1615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  <c r="AF29" t="s">
        <v>1616</v>
      </c>
    </row>
    <row r="30" spans="1:32" ht="36" customHeight="1" x14ac:dyDescent="0.25">
      <c r="A30" s="14" t="s">
        <v>1617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7" t="s">
        <v>1618</v>
      </c>
      <c r="AB30" s="13"/>
      <c r="AC30" s="13"/>
      <c r="AD30" s="13"/>
      <c r="AE30" s="13"/>
      <c r="AF30" t="s">
        <v>1619</v>
      </c>
    </row>
    <row r="31" spans="1:32" ht="36" customHeight="1" x14ac:dyDescent="0.25">
      <c r="A31" s="14" t="s">
        <v>1620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7" t="s">
        <v>1621</v>
      </c>
      <c r="AB31" s="13"/>
      <c r="AC31" s="13"/>
      <c r="AD31" s="13"/>
      <c r="AE31" s="13"/>
      <c r="AF31" t="s">
        <v>1622</v>
      </c>
    </row>
    <row r="32" spans="1:32" ht="23.1" customHeight="1" x14ac:dyDescent="0.25">
      <c r="A32" s="15" t="s">
        <v>1623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5"/>
      <c r="AC32" s="15"/>
      <c r="AD32" s="15"/>
      <c r="AE32" s="15"/>
    </row>
    <row r="33" spans="1:32" ht="36" customHeight="1" x14ac:dyDescent="0.25">
      <c r="A33" s="14" t="s">
        <v>1624</v>
      </c>
      <c r="B33" s="13" t="s">
        <v>1625</v>
      </c>
      <c r="C33" s="13"/>
      <c r="D33" s="13"/>
      <c r="E33" s="13" t="s">
        <v>1626</v>
      </c>
      <c r="F33" s="13"/>
      <c r="G33" s="13"/>
      <c r="H33" s="13"/>
      <c r="I33" s="13"/>
      <c r="J33" s="13" t="s">
        <v>1627</v>
      </c>
      <c r="K33" s="13"/>
      <c r="L33" s="13"/>
      <c r="M33" s="13"/>
      <c r="N33" s="13" t="s">
        <v>1628</v>
      </c>
      <c r="O33" s="13"/>
      <c r="P33" s="13"/>
      <c r="Q33" s="13"/>
      <c r="R33" s="13"/>
      <c r="S33" s="13" t="s">
        <v>1629</v>
      </c>
      <c r="T33" s="13"/>
      <c r="U33" s="13"/>
      <c r="V33" s="13"/>
      <c r="W33" s="13"/>
      <c r="X33" s="13"/>
      <c r="Y33" s="13"/>
      <c r="Z33" s="13"/>
      <c r="AA33" s="17" t="s">
        <v>1630</v>
      </c>
      <c r="AB33" s="13"/>
      <c r="AC33" s="13"/>
      <c r="AD33" s="13"/>
      <c r="AE33" s="13" t="s">
        <v>1631</v>
      </c>
      <c r="AF33" t="s">
        <v>1632</v>
      </c>
    </row>
    <row r="34" spans="1:32" ht="36" customHeight="1" x14ac:dyDescent="0.25">
      <c r="A34" s="14" t="s">
        <v>1633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 t="s">
        <v>1634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/>
      <c r="AB34" s="13"/>
      <c r="AC34" s="13"/>
      <c r="AD34" s="13"/>
      <c r="AE34" s="13"/>
      <c r="AF34" t="s">
        <v>1635</v>
      </c>
    </row>
    <row r="35" spans="1:32" ht="23.1" customHeight="1" x14ac:dyDescent="0.25">
      <c r="A35" s="15" t="s">
        <v>1636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6"/>
      <c r="AB35" s="15"/>
      <c r="AC35" s="15"/>
      <c r="AD35" s="15"/>
      <c r="AE35" s="15"/>
    </row>
    <row r="36" spans="1:32" ht="23.1" customHeight="1" x14ac:dyDescent="0.25">
      <c r="A36" s="15" t="s">
        <v>1637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  <c r="AB36" s="15"/>
      <c r="AC36" s="15"/>
      <c r="AD36" s="15"/>
      <c r="AE36" s="15"/>
    </row>
    <row r="37" spans="1:32" ht="23.1" customHeight="1" x14ac:dyDescent="0.25">
      <c r="A37" s="15" t="s">
        <v>1638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6"/>
      <c r="AB37" s="15"/>
      <c r="AC37" s="15"/>
      <c r="AD37" s="15"/>
      <c r="AE37" s="15"/>
    </row>
    <row r="38" spans="1:32" ht="36" customHeight="1" x14ac:dyDescent="0.25">
      <c r="A38" s="14" t="s">
        <v>1639</v>
      </c>
      <c r="B38" s="13" t="s">
        <v>1640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 t="s">
        <v>1571</v>
      </c>
      <c r="AB38" s="13"/>
      <c r="AC38" s="13"/>
      <c r="AD38" s="13"/>
      <c r="AE38" s="13"/>
    </row>
    <row r="39" spans="1:32" ht="36" customHeight="1" x14ac:dyDescent="0.25">
      <c r="A39" s="14" t="s">
        <v>1641</v>
      </c>
      <c r="B39" s="13" t="s">
        <v>1642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7" t="s">
        <v>1643</v>
      </c>
      <c r="AB39" s="13"/>
      <c r="AC39" s="13"/>
      <c r="AD39" s="13"/>
      <c r="AE39" s="13"/>
      <c r="AF39" t="s">
        <v>1644</v>
      </c>
    </row>
  </sheetData>
  <mergeCells count="1">
    <mergeCell ref="A1:A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0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B7" sqref="AB7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Directory'!A1","Voice &amp; Audio"),"Voice &amp; Audio")</f>
        <v>Voice &amp; Audio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1645</v>
      </c>
      <c r="B3" s="13" t="s">
        <v>1646</v>
      </c>
      <c r="C3" s="13" t="s">
        <v>1647</v>
      </c>
      <c r="D3" s="13" t="s">
        <v>1648</v>
      </c>
      <c r="E3" s="13" t="s">
        <v>1649</v>
      </c>
      <c r="F3" s="13" t="s">
        <v>1649</v>
      </c>
      <c r="G3" s="13" t="s">
        <v>1650</v>
      </c>
      <c r="H3" s="13" t="s">
        <v>1651</v>
      </c>
      <c r="I3" s="13" t="s">
        <v>1652</v>
      </c>
      <c r="J3" s="13" t="s">
        <v>1653</v>
      </c>
      <c r="K3" s="13" t="s">
        <v>1654</v>
      </c>
      <c r="L3" s="13" t="s">
        <v>1655</v>
      </c>
      <c r="M3" s="13" t="s">
        <v>1656</v>
      </c>
      <c r="N3" s="13" t="s">
        <v>1657</v>
      </c>
      <c r="O3" s="13"/>
      <c r="P3" s="13" t="s">
        <v>1658</v>
      </c>
      <c r="Q3" s="13" t="s">
        <v>1659</v>
      </c>
      <c r="R3" s="13" t="s">
        <v>1660</v>
      </c>
      <c r="S3" s="13" t="s">
        <v>1661</v>
      </c>
      <c r="T3" s="13" t="s">
        <v>1662</v>
      </c>
      <c r="U3" s="13" t="s">
        <v>1663</v>
      </c>
      <c r="V3" s="13" t="s">
        <v>1664</v>
      </c>
      <c r="W3" s="13" t="s">
        <v>1665</v>
      </c>
      <c r="X3" s="13" t="s">
        <v>1666</v>
      </c>
      <c r="Y3" s="13"/>
      <c r="Z3" s="13" t="s">
        <v>1667</v>
      </c>
      <c r="AA3" s="17" t="s">
        <v>5830</v>
      </c>
      <c r="AB3" s="13" t="s">
        <v>1669</v>
      </c>
      <c r="AC3" s="13" t="s">
        <v>1653</v>
      </c>
      <c r="AD3" s="13" t="s">
        <v>1653</v>
      </c>
      <c r="AE3" s="13" t="s">
        <v>1670</v>
      </c>
      <c r="AF3" t="s">
        <v>1671</v>
      </c>
    </row>
    <row r="4" spans="1:32" ht="36" customHeight="1" x14ac:dyDescent="0.25">
      <c r="A4" s="14" t="s">
        <v>1672</v>
      </c>
      <c r="B4" s="13" t="s">
        <v>1673</v>
      </c>
      <c r="C4" s="13" t="s">
        <v>1674</v>
      </c>
      <c r="D4" s="13" t="s">
        <v>1675</v>
      </c>
      <c r="E4" s="13" t="s">
        <v>1675</v>
      </c>
      <c r="F4" s="13"/>
      <c r="G4" s="13" t="s">
        <v>1676</v>
      </c>
      <c r="H4" s="13" t="s">
        <v>1677</v>
      </c>
      <c r="I4" s="13" t="s">
        <v>1673</v>
      </c>
      <c r="J4" s="13" t="s">
        <v>1678</v>
      </c>
      <c r="K4" s="13" t="s">
        <v>228</v>
      </c>
      <c r="L4" s="13" t="s">
        <v>1679</v>
      </c>
      <c r="M4" s="13" t="s">
        <v>1680</v>
      </c>
      <c r="N4" s="13"/>
      <c r="O4" s="13"/>
      <c r="P4" s="13"/>
      <c r="Q4" s="13" t="s">
        <v>215</v>
      </c>
      <c r="R4" s="13"/>
      <c r="S4" s="13" t="s">
        <v>215</v>
      </c>
      <c r="T4" s="13"/>
      <c r="U4" s="13"/>
      <c r="V4" s="13"/>
      <c r="W4" s="13"/>
      <c r="X4" s="13"/>
      <c r="Y4" s="13"/>
      <c r="Z4" s="13"/>
      <c r="AA4" s="17"/>
      <c r="AB4" s="13" t="s">
        <v>215</v>
      </c>
      <c r="AC4" s="13" t="s">
        <v>215</v>
      </c>
      <c r="AD4" s="13"/>
      <c r="AE4" s="13" t="s">
        <v>215</v>
      </c>
      <c r="AF4" t="s">
        <v>1673</v>
      </c>
    </row>
    <row r="5" spans="1:32" ht="36" customHeight="1" x14ac:dyDescent="0.25">
      <c r="A5" s="14" t="s">
        <v>1681</v>
      </c>
      <c r="B5" s="13" t="s">
        <v>1682</v>
      </c>
      <c r="C5" s="13"/>
      <c r="D5" s="13"/>
      <c r="E5" s="13"/>
      <c r="F5" s="13"/>
      <c r="G5" s="13" t="s">
        <v>1683</v>
      </c>
      <c r="H5" s="13"/>
      <c r="I5" s="13"/>
      <c r="J5" s="13"/>
      <c r="K5" s="13" t="s">
        <v>228</v>
      </c>
      <c r="L5" s="13"/>
      <c r="M5" s="13"/>
      <c r="N5" s="13"/>
      <c r="O5" s="13"/>
      <c r="P5" s="13"/>
      <c r="Q5" s="13" t="s">
        <v>215</v>
      </c>
      <c r="R5" s="13"/>
      <c r="S5" s="13" t="s">
        <v>215</v>
      </c>
      <c r="T5" s="13"/>
      <c r="U5" s="13"/>
      <c r="V5" s="13"/>
      <c r="W5" s="13"/>
      <c r="X5" s="13"/>
      <c r="Y5" s="13"/>
      <c r="Z5" s="13"/>
      <c r="AA5" s="17" t="s">
        <v>1684</v>
      </c>
      <c r="AB5" s="13" t="s">
        <v>215</v>
      </c>
      <c r="AC5" s="13" t="s">
        <v>215</v>
      </c>
      <c r="AD5" s="13"/>
      <c r="AE5" s="13" t="s">
        <v>215</v>
      </c>
      <c r="AF5" t="s">
        <v>1685</v>
      </c>
    </row>
    <row r="6" spans="1:32" ht="36" customHeight="1" x14ac:dyDescent="0.25">
      <c r="A6" s="14" t="s">
        <v>1686</v>
      </c>
      <c r="B6" s="13" t="s">
        <v>1687</v>
      </c>
      <c r="C6" s="13" t="s">
        <v>1688</v>
      </c>
      <c r="D6" s="13" t="s">
        <v>1689</v>
      </c>
      <c r="E6" s="13" t="s">
        <v>1690</v>
      </c>
      <c r="F6" s="13"/>
      <c r="G6" s="13" t="s">
        <v>1691</v>
      </c>
      <c r="H6" s="13"/>
      <c r="I6" s="13" t="s">
        <v>1692</v>
      </c>
      <c r="J6" s="13"/>
      <c r="K6" s="13" t="s">
        <v>228</v>
      </c>
      <c r="L6" s="13"/>
      <c r="M6" s="13" t="s">
        <v>300</v>
      </c>
      <c r="N6" s="13" t="s">
        <v>1693</v>
      </c>
      <c r="O6" s="13"/>
      <c r="P6" s="13" t="s">
        <v>1694</v>
      </c>
      <c r="Q6" s="13" t="s">
        <v>1695</v>
      </c>
      <c r="R6" s="13"/>
      <c r="S6" s="13" t="s">
        <v>1696</v>
      </c>
      <c r="T6" s="13"/>
      <c r="U6" s="13" t="s">
        <v>1697</v>
      </c>
      <c r="V6" s="13" t="s">
        <v>1698</v>
      </c>
      <c r="W6" s="13" t="s">
        <v>228</v>
      </c>
      <c r="X6" s="13"/>
      <c r="Y6" s="13" t="s">
        <v>1699</v>
      </c>
      <c r="Z6" s="13" t="s">
        <v>1695</v>
      </c>
      <c r="AA6" s="17"/>
      <c r="AB6" s="13" t="s">
        <v>1700</v>
      </c>
      <c r="AC6" s="13" t="s">
        <v>1701</v>
      </c>
      <c r="AD6" s="13" t="s">
        <v>1701</v>
      </c>
      <c r="AE6" s="13" t="s">
        <v>1701</v>
      </c>
      <c r="AF6" t="s">
        <v>1702</v>
      </c>
    </row>
    <row r="7" spans="1:32" ht="36" customHeight="1" x14ac:dyDescent="0.25">
      <c r="A7" s="14" t="s">
        <v>1703</v>
      </c>
      <c r="B7" s="13" t="s">
        <v>215</v>
      </c>
      <c r="C7" s="13" t="s">
        <v>215</v>
      </c>
      <c r="D7" s="13" t="s">
        <v>215</v>
      </c>
      <c r="E7" s="13" t="s">
        <v>215</v>
      </c>
      <c r="F7" s="13" t="s">
        <v>215</v>
      </c>
      <c r="G7" s="13" t="s">
        <v>1691</v>
      </c>
      <c r="H7" s="13" t="s">
        <v>251</v>
      </c>
      <c r="I7" s="13" t="s">
        <v>215</v>
      </c>
      <c r="J7" s="13" t="s">
        <v>215</v>
      </c>
      <c r="K7" s="13" t="s">
        <v>228</v>
      </c>
      <c r="L7" s="13"/>
      <c r="M7" s="13"/>
      <c r="N7" s="13" t="s">
        <v>215</v>
      </c>
      <c r="O7" s="13"/>
      <c r="P7" s="13"/>
      <c r="Q7" s="13"/>
      <c r="R7" s="13"/>
      <c r="S7" s="13"/>
      <c r="T7" s="13"/>
      <c r="U7" s="13"/>
      <c r="V7" s="13"/>
      <c r="W7" s="13" t="s">
        <v>228</v>
      </c>
      <c r="X7" s="13"/>
      <c r="Y7" s="13"/>
      <c r="Z7" s="13" t="s">
        <v>1673</v>
      </c>
      <c r="AA7" s="17" t="s">
        <v>215</v>
      </c>
      <c r="AB7" s="13"/>
      <c r="AC7" s="13"/>
      <c r="AD7" s="13"/>
      <c r="AE7" s="13"/>
      <c r="AF7" t="s">
        <v>215</v>
      </c>
    </row>
    <row r="8" spans="1:32" ht="36" customHeight="1" x14ac:dyDescent="0.25">
      <c r="A8" s="14" t="s">
        <v>1704</v>
      </c>
      <c r="B8" s="13" t="s">
        <v>215</v>
      </c>
      <c r="C8" s="13" t="s">
        <v>215</v>
      </c>
      <c r="D8" s="13" t="s">
        <v>215</v>
      </c>
      <c r="E8" s="13" t="s">
        <v>215</v>
      </c>
      <c r="F8" s="13" t="s">
        <v>215</v>
      </c>
      <c r="G8" s="13" t="s">
        <v>1691</v>
      </c>
      <c r="H8" s="13" t="s">
        <v>251</v>
      </c>
      <c r="I8" s="13" t="s">
        <v>215</v>
      </c>
      <c r="J8" s="13" t="s">
        <v>215</v>
      </c>
      <c r="K8" s="13" t="s">
        <v>228</v>
      </c>
      <c r="L8" s="13" t="s">
        <v>215</v>
      </c>
      <c r="M8" s="13"/>
      <c r="N8" s="13" t="s">
        <v>215</v>
      </c>
      <c r="O8" s="13"/>
      <c r="P8" s="13"/>
      <c r="Q8" s="13" t="s">
        <v>215</v>
      </c>
      <c r="R8" s="13"/>
      <c r="S8" s="13"/>
      <c r="T8" s="13"/>
      <c r="U8" s="13"/>
      <c r="V8" s="13"/>
      <c r="W8" s="13" t="s">
        <v>228</v>
      </c>
      <c r="X8" s="13"/>
      <c r="Y8" s="13"/>
      <c r="Z8" s="13"/>
      <c r="AA8" s="17" t="s">
        <v>215</v>
      </c>
      <c r="AB8" s="13" t="s">
        <v>215</v>
      </c>
      <c r="AC8" s="13" t="s">
        <v>215</v>
      </c>
      <c r="AD8" s="13"/>
      <c r="AE8" s="13" t="s">
        <v>215</v>
      </c>
      <c r="AF8" t="s">
        <v>1705</v>
      </c>
    </row>
    <row r="9" spans="1:32" ht="36" customHeight="1" x14ac:dyDescent="0.25">
      <c r="A9" s="14" t="s">
        <v>1706</v>
      </c>
      <c r="B9" s="13" t="s">
        <v>1707</v>
      </c>
      <c r="C9" s="13" t="s">
        <v>1708</v>
      </c>
      <c r="D9" s="13"/>
      <c r="E9" s="13" t="s">
        <v>1708</v>
      </c>
      <c r="F9" s="13" t="s">
        <v>1708</v>
      </c>
      <c r="G9" s="13" t="s">
        <v>1709</v>
      </c>
      <c r="H9" s="13" t="s">
        <v>1710</v>
      </c>
      <c r="I9" s="13" t="s">
        <v>1711</v>
      </c>
      <c r="J9" s="13"/>
      <c r="K9" s="13" t="s">
        <v>228</v>
      </c>
      <c r="L9" s="13" t="s">
        <v>225</v>
      </c>
      <c r="M9" s="13" t="s">
        <v>225</v>
      </c>
      <c r="N9" s="13" t="s">
        <v>1712</v>
      </c>
      <c r="O9" s="13" t="s">
        <v>225</v>
      </c>
      <c r="P9" s="13" t="s">
        <v>225</v>
      </c>
      <c r="Q9" s="13" t="s">
        <v>225</v>
      </c>
      <c r="R9" s="13" t="s">
        <v>225</v>
      </c>
      <c r="S9" s="13" t="s">
        <v>225</v>
      </c>
      <c r="T9" s="13" t="s">
        <v>225</v>
      </c>
      <c r="U9" s="13" t="s">
        <v>1713</v>
      </c>
      <c r="V9" s="13" t="s">
        <v>225</v>
      </c>
      <c r="W9" s="13" t="s">
        <v>228</v>
      </c>
      <c r="X9" s="13" t="s">
        <v>225</v>
      </c>
      <c r="Y9" s="13" t="s">
        <v>225</v>
      </c>
      <c r="Z9" s="13" t="s">
        <v>225</v>
      </c>
      <c r="AA9" s="17" t="s">
        <v>225</v>
      </c>
      <c r="AB9" s="13" t="s">
        <v>225</v>
      </c>
      <c r="AC9" s="13" t="s">
        <v>225</v>
      </c>
      <c r="AD9" s="13" t="s">
        <v>225</v>
      </c>
      <c r="AE9" s="13" t="s">
        <v>225</v>
      </c>
    </row>
    <row r="10" spans="1:32" ht="36" customHeight="1" x14ac:dyDescent="0.25">
      <c r="A10" s="14" t="s">
        <v>1714</v>
      </c>
      <c r="B10" s="13" t="s">
        <v>215</v>
      </c>
      <c r="C10" s="13" t="s">
        <v>1715</v>
      </c>
      <c r="D10" s="13" t="s">
        <v>1716</v>
      </c>
      <c r="E10" s="13"/>
      <c r="F10" s="13" t="s">
        <v>1717</v>
      </c>
      <c r="G10" s="13" t="s">
        <v>251</v>
      </c>
      <c r="H10" s="13"/>
      <c r="I10" s="13" t="s">
        <v>1718</v>
      </c>
      <c r="J10" s="13" t="s">
        <v>1719</v>
      </c>
      <c r="K10" s="13" t="s">
        <v>228</v>
      </c>
      <c r="L10" s="13" t="s">
        <v>1720</v>
      </c>
      <c r="M10" s="13"/>
      <c r="N10" s="13" t="s">
        <v>1715</v>
      </c>
      <c r="O10" s="13" t="s">
        <v>225</v>
      </c>
      <c r="P10" s="13" t="s">
        <v>1721</v>
      </c>
      <c r="Q10" s="13"/>
      <c r="R10" s="13" t="s">
        <v>225</v>
      </c>
      <c r="S10" s="13"/>
      <c r="T10" s="13" t="s">
        <v>225</v>
      </c>
      <c r="U10" s="13" t="s">
        <v>1722</v>
      </c>
      <c r="V10" s="13" t="s">
        <v>225</v>
      </c>
      <c r="W10" s="13" t="s">
        <v>228</v>
      </c>
      <c r="X10" s="13"/>
      <c r="Y10" s="13" t="s">
        <v>225</v>
      </c>
      <c r="Z10" s="13" t="s">
        <v>1721</v>
      </c>
      <c r="AA10" s="17" t="s">
        <v>1722</v>
      </c>
      <c r="AB10" s="13" t="s">
        <v>1722</v>
      </c>
      <c r="AC10" s="13" t="s">
        <v>1721</v>
      </c>
      <c r="AD10" s="13" t="s">
        <v>1721</v>
      </c>
      <c r="AE10" s="13" t="s">
        <v>1723</v>
      </c>
      <c r="AF10" t="s">
        <v>1252</v>
      </c>
    </row>
    <row r="11" spans="1:32" ht="36" customHeight="1" x14ac:dyDescent="0.25">
      <c r="A11" s="14" t="s">
        <v>1724</v>
      </c>
      <c r="B11" s="13" t="s">
        <v>215</v>
      </c>
      <c r="C11" s="13"/>
      <c r="D11" s="13"/>
      <c r="E11" s="13"/>
      <c r="F11" s="13"/>
      <c r="G11" s="13" t="s">
        <v>251</v>
      </c>
      <c r="H11" s="13"/>
      <c r="I11" s="13" t="s">
        <v>225</v>
      </c>
      <c r="J11" s="13"/>
      <c r="K11" s="13" t="s">
        <v>228</v>
      </c>
      <c r="L11" s="13" t="s">
        <v>215</v>
      </c>
      <c r="M11" s="13"/>
      <c r="N11" s="13"/>
      <c r="O11" s="13"/>
      <c r="P11" s="13"/>
      <c r="Q11" s="13"/>
      <c r="R11" s="13"/>
      <c r="S11" s="13"/>
      <c r="T11" s="13"/>
      <c r="U11" s="13" t="s">
        <v>225</v>
      </c>
      <c r="V11" s="13"/>
      <c r="W11" s="13" t="s">
        <v>228</v>
      </c>
      <c r="X11" s="13"/>
      <c r="Y11" s="13"/>
      <c r="Z11" s="13"/>
      <c r="AA11" s="17" t="s">
        <v>225</v>
      </c>
      <c r="AB11" s="13"/>
      <c r="AC11" s="13"/>
      <c r="AD11" s="13"/>
      <c r="AE11" s="13"/>
      <c r="AF11" t="s">
        <v>1725</v>
      </c>
    </row>
    <row r="12" spans="1:32" ht="23.1" customHeight="1" x14ac:dyDescent="0.25">
      <c r="A12" s="15" t="s">
        <v>1726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1727</v>
      </c>
      <c r="B13" s="13" t="s">
        <v>215</v>
      </c>
      <c r="C13" s="13"/>
      <c r="D13" s="13" t="s">
        <v>215</v>
      </c>
      <c r="E13" s="13" t="s">
        <v>215</v>
      </c>
      <c r="F13" s="13" t="s">
        <v>215</v>
      </c>
      <c r="G13" s="13" t="s">
        <v>251</v>
      </c>
      <c r="H13" s="13"/>
      <c r="I13" s="13"/>
      <c r="J13" s="13"/>
      <c r="K13" s="13"/>
      <c r="L13" s="13"/>
      <c r="M13" s="13"/>
      <c r="N13" s="13" t="s">
        <v>215</v>
      </c>
      <c r="O13" s="13"/>
      <c r="P13" s="13"/>
      <c r="Q13" s="13"/>
      <c r="R13" s="13"/>
      <c r="S13" s="13" t="s">
        <v>215</v>
      </c>
      <c r="T13" s="13"/>
      <c r="U13" s="13"/>
      <c r="V13" s="13"/>
      <c r="W13" s="13"/>
      <c r="X13" s="13"/>
      <c r="Y13" s="13"/>
      <c r="Z13" s="13"/>
      <c r="AA13" s="17" t="s">
        <v>215</v>
      </c>
      <c r="AB13" s="13"/>
      <c r="AC13" s="13" t="s">
        <v>215</v>
      </c>
      <c r="AD13" s="13"/>
      <c r="AE13" s="13" t="s">
        <v>215</v>
      </c>
      <c r="AF13" t="s">
        <v>215</v>
      </c>
    </row>
    <row r="14" spans="1:32" ht="36" customHeight="1" x14ac:dyDescent="0.25">
      <c r="A14" s="14" t="s">
        <v>1728</v>
      </c>
      <c r="B14" s="13" t="s">
        <v>215</v>
      </c>
      <c r="C14" s="13"/>
      <c r="D14" s="13" t="s">
        <v>215</v>
      </c>
      <c r="E14" s="13" t="s">
        <v>215</v>
      </c>
      <c r="F14" s="13" t="s">
        <v>215</v>
      </c>
      <c r="G14" s="13" t="s">
        <v>251</v>
      </c>
      <c r="H14" s="13"/>
      <c r="I14" s="13"/>
      <c r="J14" s="13"/>
      <c r="K14" s="13"/>
      <c r="L14" s="13"/>
      <c r="M14" s="13"/>
      <c r="N14" s="13" t="s">
        <v>215</v>
      </c>
      <c r="O14" s="13"/>
      <c r="P14" s="13"/>
      <c r="Q14" s="13"/>
      <c r="R14" s="13"/>
      <c r="S14" s="13" t="s">
        <v>215</v>
      </c>
      <c r="T14" s="13"/>
      <c r="U14" s="13"/>
      <c r="V14" s="13"/>
      <c r="W14" s="13"/>
      <c r="X14" s="13"/>
      <c r="Y14" s="13"/>
      <c r="Z14" s="13"/>
      <c r="AA14" s="17" t="s">
        <v>225</v>
      </c>
      <c r="AB14" s="13"/>
      <c r="AC14" s="13" t="s">
        <v>215</v>
      </c>
      <c r="AD14" s="13"/>
      <c r="AE14" s="13" t="s">
        <v>215</v>
      </c>
      <c r="AF14" t="s">
        <v>215</v>
      </c>
    </row>
    <row r="15" spans="1:32" ht="36" customHeight="1" x14ac:dyDescent="0.25">
      <c r="A15" s="14" t="s">
        <v>1729</v>
      </c>
      <c r="B15" s="13" t="s">
        <v>215</v>
      </c>
      <c r="C15" s="13"/>
      <c r="D15" s="13"/>
      <c r="E15" s="13"/>
      <c r="F15" s="13"/>
      <c r="G15" s="13"/>
      <c r="H15" s="13"/>
      <c r="I15" s="13" t="s">
        <v>215</v>
      </c>
      <c r="J15" s="13" t="s">
        <v>215</v>
      </c>
      <c r="K15" s="13"/>
      <c r="L15" s="13"/>
      <c r="M15" s="13"/>
      <c r="N15" s="13" t="s">
        <v>215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215</v>
      </c>
      <c r="AB15" s="13"/>
      <c r="AC15" s="13"/>
      <c r="AD15" s="13"/>
      <c r="AE15" s="13" t="s">
        <v>215</v>
      </c>
      <c r="AF15" t="s">
        <v>215</v>
      </c>
    </row>
    <row r="16" spans="1:32" ht="36" customHeight="1" x14ac:dyDescent="0.25">
      <c r="A16" s="14" t="s">
        <v>1730</v>
      </c>
      <c r="B16" s="13" t="s">
        <v>215</v>
      </c>
      <c r="C16" s="13"/>
      <c r="D16" s="13" t="s">
        <v>215</v>
      </c>
      <c r="E16" s="13" t="s">
        <v>215</v>
      </c>
      <c r="F16" s="13"/>
      <c r="G16" s="13"/>
      <c r="H16" s="13"/>
      <c r="I16" s="13"/>
      <c r="J16" s="13"/>
      <c r="K16" s="13"/>
      <c r="L16" s="13"/>
      <c r="M16" s="13"/>
      <c r="N16" s="13" t="s">
        <v>215</v>
      </c>
      <c r="O16" s="13"/>
      <c r="P16" s="13"/>
      <c r="Q16" s="13"/>
      <c r="R16" s="13"/>
      <c r="S16" s="13" t="s">
        <v>215</v>
      </c>
      <c r="T16" s="13"/>
      <c r="U16" s="13"/>
      <c r="V16" s="13"/>
      <c r="W16" s="13"/>
      <c r="X16" s="13"/>
      <c r="Y16" s="13"/>
      <c r="Z16" s="13"/>
      <c r="AA16" s="17" t="s">
        <v>215</v>
      </c>
      <c r="AB16" s="13"/>
      <c r="AC16" s="13" t="s">
        <v>215</v>
      </c>
      <c r="AD16" s="13"/>
      <c r="AE16" s="13" t="s">
        <v>215</v>
      </c>
      <c r="AF16" t="s">
        <v>1731</v>
      </c>
    </row>
    <row r="17" spans="1:32" ht="36" customHeight="1" x14ac:dyDescent="0.25">
      <c r="A17" s="14" t="s">
        <v>1732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 t="s">
        <v>215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215</v>
      </c>
      <c r="AB17" s="13"/>
      <c r="AC17" s="13" t="s">
        <v>215</v>
      </c>
      <c r="AD17" s="13"/>
      <c r="AE17" s="13"/>
      <c r="AF17" t="s">
        <v>1733</v>
      </c>
    </row>
    <row r="18" spans="1:32" ht="23.1" customHeight="1" x14ac:dyDescent="0.25">
      <c r="A18" s="15" t="s">
        <v>1734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  <c r="AF18" t="s">
        <v>1735</v>
      </c>
    </row>
    <row r="19" spans="1:32" ht="36" customHeight="1" x14ac:dyDescent="0.25">
      <c r="A19" s="14" t="s">
        <v>1736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 t="s">
        <v>215</v>
      </c>
      <c r="M19" s="13"/>
      <c r="N19" s="13"/>
      <c r="O19" s="13"/>
      <c r="P19" s="13"/>
      <c r="Q19" s="13"/>
      <c r="R19" s="13"/>
      <c r="S19" s="13" t="s">
        <v>215</v>
      </c>
      <c r="T19" s="13"/>
      <c r="U19" s="13"/>
      <c r="V19" s="13"/>
      <c r="W19" s="13"/>
      <c r="X19" s="13"/>
      <c r="Y19" s="13"/>
      <c r="Z19" s="13"/>
      <c r="AA19" s="17" t="s">
        <v>225</v>
      </c>
      <c r="AB19" s="13"/>
      <c r="AC19" s="13"/>
      <c r="AD19" s="13"/>
      <c r="AE19" s="13"/>
      <c r="AF19" t="s">
        <v>1737</v>
      </c>
    </row>
    <row r="20" spans="1:32" ht="36" customHeight="1" x14ac:dyDescent="0.25">
      <c r="A20" s="14" t="s">
        <v>1738</v>
      </c>
      <c r="B20" s="13" t="s">
        <v>1739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 t="s">
        <v>1740</v>
      </c>
      <c r="AB20" s="13"/>
      <c r="AC20" s="13"/>
      <c r="AD20" s="13"/>
      <c r="AE20" s="13"/>
      <c r="AF20" t="s">
        <v>1741</v>
      </c>
    </row>
  </sheetData>
  <mergeCells count="1">
    <mergeCell ref="A1:A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37"/>
  <sheetViews>
    <sheetView workbookViewId="0">
      <pane xSplit="2" ySplit="2" topLeftCell="X20" activePane="bottomRight" state="frozen"/>
      <selection pane="topRight" activeCell="C1" sqref="C1"/>
      <selection pane="bottomLeft" activeCell="A3" sqref="A3"/>
      <selection pane="bottomRight" activeCell="AA39" sqref="AA39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Directory'!A1","Voice &amp; Audio — Normalized Detail"),"Voice &amp; Audio — Normalized Detail")</f>
        <v>Voice &amp; Audio — Normalized Detail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1742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1671</v>
      </c>
    </row>
    <row r="4" spans="1:32" ht="36" customHeight="1" x14ac:dyDescent="0.25">
      <c r="A4" s="14" t="s">
        <v>1743</v>
      </c>
      <c r="B4" s="13" t="s">
        <v>1646</v>
      </c>
      <c r="C4" s="13" t="s">
        <v>1647</v>
      </c>
      <c r="D4" s="13" t="s">
        <v>1648</v>
      </c>
      <c r="E4" s="13" t="s">
        <v>1649</v>
      </c>
      <c r="F4" s="13" t="s">
        <v>1649</v>
      </c>
      <c r="G4" s="13" t="s">
        <v>1650</v>
      </c>
      <c r="H4" s="13" t="s">
        <v>1651</v>
      </c>
      <c r="I4" s="13" t="s">
        <v>1652</v>
      </c>
      <c r="J4" s="13" t="s">
        <v>1653</v>
      </c>
      <c r="K4" s="13" t="s">
        <v>1654</v>
      </c>
      <c r="L4" s="13" t="s">
        <v>1655</v>
      </c>
      <c r="M4" s="13" t="s">
        <v>1656</v>
      </c>
      <c r="N4" s="13" t="s">
        <v>1657</v>
      </c>
      <c r="O4" s="13"/>
      <c r="P4" s="13" t="s">
        <v>1658</v>
      </c>
      <c r="Q4" s="13" t="s">
        <v>1659</v>
      </c>
      <c r="R4" s="13" t="s">
        <v>1660</v>
      </c>
      <c r="S4" s="13" t="s">
        <v>1661</v>
      </c>
      <c r="T4" s="13" t="s">
        <v>1662</v>
      </c>
      <c r="U4" s="13" t="s">
        <v>1663</v>
      </c>
      <c r="V4" s="13" t="s">
        <v>1664</v>
      </c>
      <c r="W4" s="13" t="s">
        <v>1665</v>
      </c>
      <c r="X4" s="13" t="s">
        <v>1666</v>
      </c>
      <c r="Y4" s="13"/>
      <c r="Z4" s="13" t="s">
        <v>1667</v>
      </c>
      <c r="AA4" s="17" t="s">
        <v>1668</v>
      </c>
      <c r="AB4" s="13" t="s">
        <v>1669</v>
      </c>
      <c r="AC4" s="13" t="s">
        <v>1653</v>
      </c>
      <c r="AD4" s="13" t="s">
        <v>1653</v>
      </c>
      <c r="AE4" s="13" t="s">
        <v>1670</v>
      </c>
      <c r="AF4" t="s">
        <v>215</v>
      </c>
    </row>
    <row r="5" spans="1:32" ht="36" customHeight="1" x14ac:dyDescent="0.25">
      <c r="A5" s="14" t="s">
        <v>1727</v>
      </c>
      <c r="B5" s="13" t="s">
        <v>215</v>
      </c>
      <c r="C5" s="13"/>
      <c r="D5" s="13" t="s">
        <v>215</v>
      </c>
      <c r="E5" s="13" t="s">
        <v>215</v>
      </c>
      <c r="F5" s="13" t="s">
        <v>215</v>
      </c>
      <c r="G5" s="13" t="s">
        <v>251</v>
      </c>
      <c r="H5" s="13"/>
      <c r="I5" s="13"/>
      <c r="J5" s="13"/>
      <c r="K5" s="13"/>
      <c r="L5" s="13"/>
      <c r="M5" s="13"/>
      <c r="N5" s="13" t="s">
        <v>215</v>
      </c>
      <c r="O5" s="13"/>
      <c r="P5" s="13"/>
      <c r="Q5" s="13"/>
      <c r="R5" s="13"/>
      <c r="S5" s="13" t="s">
        <v>215</v>
      </c>
      <c r="T5" s="13"/>
      <c r="U5" s="13"/>
      <c r="V5" s="13"/>
      <c r="W5" s="13"/>
      <c r="X5" s="13"/>
      <c r="Y5" s="13"/>
      <c r="Z5" s="13"/>
      <c r="AA5" s="17" t="s">
        <v>215</v>
      </c>
      <c r="AB5" s="13"/>
      <c r="AC5" s="13" t="s">
        <v>215</v>
      </c>
      <c r="AD5" s="13"/>
      <c r="AE5" s="13" t="s">
        <v>215</v>
      </c>
      <c r="AF5" t="s">
        <v>215</v>
      </c>
    </row>
    <row r="6" spans="1:32" ht="36" customHeight="1" x14ac:dyDescent="0.25">
      <c r="A6" s="14" t="s">
        <v>1728</v>
      </c>
      <c r="B6" s="13" t="s">
        <v>215</v>
      </c>
      <c r="C6" s="13"/>
      <c r="D6" s="13" t="s">
        <v>215</v>
      </c>
      <c r="E6" s="13" t="s">
        <v>215</v>
      </c>
      <c r="F6" s="13" t="s">
        <v>215</v>
      </c>
      <c r="G6" s="13" t="s">
        <v>251</v>
      </c>
      <c r="H6" s="13"/>
      <c r="I6" s="13"/>
      <c r="J6" s="13"/>
      <c r="K6" s="13"/>
      <c r="L6" s="13"/>
      <c r="M6" s="13"/>
      <c r="N6" s="13" t="s">
        <v>215</v>
      </c>
      <c r="O6" s="13"/>
      <c r="P6" s="13"/>
      <c r="Q6" s="13"/>
      <c r="R6" s="13"/>
      <c r="S6" s="13" t="s">
        <v>215</v>
      </c>
      <c r="T6" s="13"/>
      <c r="U6" s="13"/>
      <c r="V6" s="13"/>
      <c r="W6" s="13"/>
      <c r="X6" s="13"/>
      <c r="Y6" s="13"/>
      <c r="Z6" s="13"/>
      <c r="AA6" s="17" t="s">
        <v>225</v>
      </c>
      <c r="AB6" s="13"/>
      <c r="AC6" s="13" t="s">
        <v>215</v>
      </c>
      <c r="AD6" s="13"/>
      <c r="AE6" s="13" t="s">
        <v>215</v>
      </c>
      <c r="AF6" t="s">
        <v>215</v>
      </c>
    </row>
    <row r="7" spans="1:32" ht="36" customHeight="1" x14ac:dyDescent="0.25">
      <c r="A7" s="14" t="s">
        <v>1744</v>
      </c>
      <c r="B7" s="13" t="s">
        <v>215</v>
      </c>
      <c r="C7" s="13" t="s">
        <v>1715</v>
      </c>
      <c r="D7" s="13" t="s">
        <v>1716</v>
      </c>
      <c r="E7" s="13"/>
      <c r="F7" s="13" t="s">
        <v>1717</v>
      </c>
      <c r="G7" s="13" t="s">
        <v>251</v>
      </c>
      <c r="H7" s="13"/>
      <c r="I7" s="13" t="s">
        <v>1718</v>
      </c>
      <c r="J7" s="13" t="s">
        <v>1719</v>
      </c>
      <c r="K7" s="13" t="s">
        <v>228</v>
      </c>
      <c r="L7" s="13" t="s">
        <v>1720</v>
      </c>
      <c r="M7" s="13"/>
      <c r="N7" s="13" t="s">
        <v>1715</v>
      </c>
      <c r="O7" s="13" t="s">
        <v>225</v>
      </c>
      <c r="P7" s="13" t="s">
        <v>1721</v>
      </c>
      <c r="Q7" s="13"/>
      <c r="R7" s="13" t="s">
        <v>225</v>
      </c>
      <c r="S7" s="13"/>
      <c r="T7" s="13" t="s">
        <v>225</v>
      </c>
      <c r="U7" s="13" t="s">
        <v>1722</v>
      </c>
      <c r="V7" s="13" t="s">
        <v>225</v>
      </c>
      <c r="W7" s="13" t="s">
        <v>228</v>
      </c>
      <c r="X7" s="13"/>
      <c r="Y7" s="13" t="s">
        <v>225</v>
      </c>
      <c r="Z7" s="13" t="s">
        <v>1721</v>
      </c>
      <c r="AA7" s="17" t="s">
        <v>1722</v>
      </c>
      <c r="AB7" s="13" t="s">
        <v>1722</v>
      </c>
      <c r="AC7" s="13" t="s">
        <v>1721</v>
      </c>
      <c r="AD7" s="13" t="s">
        <v>1721</v>
      </c>
      <c r="AE7" s="13" t="s">
        <v>1723</v>
      </c>
      <c r="AF7" t="s">
        <v>1252</v>
      </c>
    </row>
    <row r="8" spans="1:32" ht="36" customHeight="1" x14ac:dyDescent="0.25">
      <c r="A8" s="14" t="s">
        <v>1745</v>
      </c>
      <c r="B8" s="13" t="s">
        <v>215</v>
      </c>
      <c r="C8" s="13"/>
      <c r="D8" s="13"/>
      <c r="E8" s="13"/>
      <c r="F8" s="13"/>
      <c r="G8" s="13" t="s">
        <v>251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215</v>
      </c>
      <c r="T8" s="13"/>
      <c r="U8" s="13"/>
      <c r="V8" s="13"/>
      <c r="W8" s="13"/>
      <c r="X8" s="13"/>
      <c r="Y8" s="13"/>
      <c r="Z8" s="13"/>
      <c r="AA8" s="17" t="s">
        <v>225</v>
      </c>
      <c r="AB8" s="13"/>
      <c r="AC8" s="13"/>
      <c r="AD8" s="13"/>
      <c r="AE8" s="13"/>
      <c r="AF8" t="s">
        <v>1725</v>
      </c>
    </row>
    <row r="9" spans="1:32" ht="36" customHeight="1" x14ac:dyDescent="0.25">
      <c r="A9" s="14" t="s">
        <v>1746</v>
      </c>
      <c r="B9" s="13" t="s">
        <v>215</v>
      </c>
      <c r="C9" s="13"/>
      <c r="D9" s="13"/>
      <c r="E9" s="13"/>
      <c r="F9" s="13"/>
      <c r="G9" s="13" t="s">
        <v>251</v>
      </c>
      <c r="H9" s="13"/>
      <c r="I9" s="13" t="s">
        <v>225</v>
      </c>
      <c r="J9" s="13"/>
      <c r="K9" s="13" t="s">
        <v>228</v>
      </c>
      <c r="L9" s="13" t="s">
        <v>215</v>
      </c>
      <c r="M9" s="13"/>
      <c r="N9" s="13"/>
      <c r="O9" s="13"/>
      <c r="P9" s="13"/>
      <c r="Q9" s="13"/>
      <c r="R9" s="13"/>
      <c r="S9" s="13"/>
      <c r="T9" s="13"/>
      <c r="U9" s="13" t="s">
        <v>225</v>
      </c>
      <c r="V9" s="13"/>
      <c r="W9" s="13" t="s">
        <v>228</v>
      </c>
      <c r="X9" s="13"/>
      <c r="Y9" s="13"/>
      <c r="Z9" s="13"/>
      <c r="AA9" s="17" t="s">
        <v>225</v>
      </c>
      <c r="AB9" s="13"/>
      <c r="AC9" s="13"/>
      <c r="AD9" s="13"/>
      <c r="AE9" s="13"/>
      <c r="AF9" t="s">
        <v>1725</v>
      </c>
    </row>
    <row r="10" spans="1:32" ht="23.1" customHeight="1" x14ac:dyDescent="0.25">
      <c r="A10" s="15" t="s">
        <v>1747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</row>
    <row r="11" spans="1:32" ht="36" customHeight="1" x14ac:dyDescent="0.25">
      <c r="A11" s="14" t="s">
        <v>1672</v>
      </c>
      <c r="B11" s="13" t="s">
        <v>1673</v>
      </c>
      <c r="C11" s="13" t="s">
        <v>1674</v>
      </c>
      <c r="D11" s="13" t="s">
        <v>1675</v>
      </c>
      <c r="E11" s="13" t="s">
        <v>1675</v>
      </c>
      <c r="F11" s="13"/>
      <c r="G11" s="13" t="s">
        <v>1676</v>
      </c>
      <c r="H11" s="13" t="s">
        <v>1677</v>
      </c>
      <c r="I11" s="13" t="s">
        <v>1673</v>
      </c>
      <c r="J11" s="13" t="s">
        <v>1678</v>
      </c>
      <c r="K11" s="13" t="s">
        <v>228</v>
      </c>
      <c r="L11" s="13" t="s">
        <v>1679</v>
      </c>
      <c r="M11" s="13" t="s">
        <v>1680</v>
      </c>
      <c r="N11" s="13"/>
      <c r="O11" s="13"/>
      <c r="P11" s="13"/>
      <c r="Q11" s="13" t="s">
        <v>215</v>
      </c>
      <c r="R11" s="13"/>
      <c r="S11" s="13" t="s">
        <v>215</v>
      </c>
      <c r="T11" s="13"/>
      <c r="U11" s="13"/>
      <c r="V11" s="13"/>
      <c r="W11" s="13"/>
      <c r="X11" s="13"/>
      <c r="Y11" s="13"/>
      <c r="Z11" s="13"/>
      <c r="AA11" s="17"/>
      <c r="AB11" s="13" t="s">
        <v>215</v>
      </c>
      <c r="AC11" s="13" t="s">
        <v>215</v>
      </c>
      <c r="AD11" s="13"/>
      <c r="AE11" s="13" t="s">
        <v>215</v>
      </c>
      <c r="AF11" t="s">
        <v>1673</v>
      </c>
    </row>
    <row r="12" spans="1:32" ht="36" customHeight="1" x14ac:dyDescent="0.25">
      <c r="A12" s="14" t="s">
        <v>1748</v>
      </c>
      <c r="B12" s="13" t="s">
        <v>1749</v>
      </c>
      <c r="C12" s="13"/>
      <c r="D12" s="13"/>
      <c r="E12" s="13"/>
      <c r="F12" s="13"/>
      <c r="G12" s="13"/>
      <c r="H12" s="13"/>
      <c r="I12" s="13" t="s">
        <v>1036</v>
      </c>
      <c r="J12" s="13"/>
      <c r="K12" s="13"/>
      <c r="L12" s="13"/>
      <c r="M12" s="13"/>
      <c r="N12" s="13" t="s">
        <v>1750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1749</v>
      </c>
      <c r="AB12" s="13"/>
      <c r="AC12" s="13"/>
      <c r="AD12" s="13"/>
      <c r="AE12" s="13"/>
      <c r="AF12" t="s">
        <v>1751</v>
      </c>
    </row>
    <row r="13" spans="1:32" ht="36" customHeight="1" x14ac:dyDescent="0.25">
      <c r="A13" s="14" t="s">
        <v>1752</v>
      </c>
      <c r="B13" s="13" t="s">
        <v>1753</v>
      </c>
      <c r="C13" s="13"/>
      <c r="D13" s="13"/>
      <c r="E13" s="13"/>
      <c r="F13" s="13"/>
      <c r="G13" s="13" t="s">
        <v>1683</v>
      </c>
      <c r="H13" s="13"/>
      <c r="I13" s="13"/>
      <c r="J13" s="13"/>
      <c r="K13" s="13" t="s">
        <v>228</v>
      </c>
      <c r="L13" s="13"/>
      <c r="M13" s="13"/>
      <c r="N13" s="13" t="s">
        <v>1754</v>
      </c>
      <c r="O13" s="13"/>
      <c r="P13" s="13"/>
      <c r="Q13" s="13" t="s">
        <v>215</v>
      </c>
      <c r="R13" s="13"/>
      <c r="S13" s="13" t="s">
        <v>215</v>
      </c>
      <c r="T13" s="13"/>
      <c r="U13" s="13"/>
      <c r="V13" s="13"/>
      <c r="W13" s="13"/>
      <c r="X13" s="13"/>
      <c r="Y13" s="13"/>
      <c r="Z13" s="13"/>
      <c r="AA13" s="17" t="s">
        <v>1755</v>
      </c>
      <c r="AB13" s="13" t="s">
        <v>215</v>
      </c>
      <c r="AC13" s="13" t="s">
        <v>215</v>
      </c>
      <c r="AD13" s="13"/>
      <c r="AE13" s="13" t="s">
        <v>215</v>
      </c>
      <c r="AF13" t="s">
        <v>1685</v>
      </c>
    </row>
    <row r="14" spans="1:32" ht="36" customHeight="1" x14ac:dyDescent="0.25">
      <c r="A14" s="14" t="s">
        <v>1756</v>
      </c>
      <c r="B14" s="13" t="s">
        <v>1757</v>
      </c>
      <c r="C14" s="13"/>
      <c r="D14" s="13"/>
      <c r="E14" s="13"/>
      <c r="F14" s="13"/>
      <c r="G14" s="13"/>
      <c r="H14" s="13"/>
      <c r="I14" s="13" t="s">
        <v>1757</v>
      </c>
      <c r="J14" s="13"/>
      <c r="K14" s="13"/>
      <c r="L14" s="13"/>
      <c r="M14" s="13"/>
      <c r="N14" s="13" t="s">
        <v>1757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1757</v>
      </c>
      <c r="AB14" s="13"/>
      <c r="AC14" s="13"/>
      <c r="AD14" s="13"/>
      <c r="AE14" s="13"/>
      <c r="AF14" t="s">
        <v>1758</v>
      </c>
    </row>
    <row r="15" spans="1:32" ht="23.1" customHeight="1" x14ac:dyDescent="0.25">
      <c r="A15" s="15" t="s">
        <v>1759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5"/>
      <c r="AC15" s="15"/>
      <c r="AD15" s="15"/>
      <c r="AE15" s="15"/>
    </row>
    <row r="16" spans="1:32" ht="36" customHeight="1" x14ac:dyDescent="0.25">
      <c r="A16" s="14" t="s">
        <v>1760</v>
      </c>
      <c r="B16" s="13" t="s">
        <v>215</v>
      </c>
      <c r="C16" s="13" t="s">
        <v>215</v>
      </c>
      <c r="D16" s="13" t="s">
        <v>215</v>
      </c>
      <c r="E16" s="13" t="s">
        <v>215</v>
      </c>
      <c r="F16" s="13" t="s">
        <v>215</v>
      </c>
      <c r="G16" s="13" t="s">
        <v>1691</v>
      </c>
      <c r="H16" s="13" t="s">
        <v>251</v>
      </c>
      <c r="I16" s="13" t="s">
        <v>215</v>
      </c>
      <c r="J16" s="13" t="s">
        <v>215</v>
      </c>
      <c r="K16" s="13" t="s">
        <v>228</v>
      </c>
      <c r="L16" s="13"/>
      <c r="M16" s="13"/>
      <c r="N16" s="13" t="s">
        <v>215</v>
      </c>
      <c r="O16" s="13"/>
      <c r="P16" s="13"/>
      <c r="Q16" s="13"/>
      <c r="R16" s="13"/>
      <c r="S16" s="13"/>
      <c r="T16" s="13"/>
      <c r="U16" s="13"/>
      <c r="V16" s="13"/>
      <c r="W16" s="13" t="s">
        <v>228</v>
      </c>
      <c r="X16" s="13"/>
      <c r="Y16" s="13"/>
      <c r="Z16" s="13" t="s">
        <v>1673</v>
      </c>
      <c r="AA16" s="17" t="s">
        <v>215</v>
      </c>
      <c r="AB16" s="13"/>
      <c r="AC16" s="13"/>
      <c r="AD16" s="13"/>
      <c r="AE16" s="13"/>
      <c r="AF16" t="s">
        <v>215</v>
      </c>
    </row>
    <row r="17" spans="1:32" ht="36" customHeight="1" x14ac:dyDescent="0.25">
      <c r="A17" s="14" t="s">
        <v>1729</v>
      </c>
      <c r="B17" s="13" t="s">
        <v>215</v>
      </c>
      <c r="C17" s="13"/>
      <c r="D17" s="13"/>
      <c r="E17" s="13"/>
      <c r="F17" s="13"/>
      <c r="G17" s="13"/>
      <c r="H17" s="13"/>
      <c r="I17" s="13" t="s">
        <v>215</v>
      </c>
      <c r="J17" s="13" t="s">
        <v>215</v>
      </c>
      <c r="K17" s="13"/>
      <c r="L17" s="13"/>
      <c r="M17" s="13"/>
      <c r="N17" s="13" t="s">
        <v>215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215</v>
      </c>
      <c r="AB17" s="13"/>
      <c r="AC17" s="13"/>
      <c r="AD17" s="13"/>
      <c r="AE17" s="13" t="s">
        <v>215</v>
      </c>
      <c r="AF17" t="s">
        <v>215</v>
      </c>
    </row>
    <row r="18" spans="1:32" ht="36" customHeight="1" x14ac:dyDescent="0.25">
      <c r="A18" s="14" t="s">
        <v>1761</v>
      </c>
      <c r="B18" s="13" t="s">
        <v>215</v>
      </c>
      <c r="C18" s="13" t="s">
        <v>215</v>
      </c>
      <c r="D18" s="13" t="s">
        <v>215</v>
      </c>
      <c r="E18" s="13" t="s">
        <v>215</v>
      </c>
      <c r="F18" s="13" t="s">
        <v>215</v>
      </c>
      <c r="G18" s="13" t="s">
        <v>1691</v>
      </c>
      <c r="H18" s="13" t="s">
        <v>251</v>
      </c>
      <c r="I18" s="13" t="s">
        <v>215</v>
      </c>
      <c r="J18" s="13" t="s">
        <v>215</v>
      </c>
      <c r="K18" s="13" t="s">
        <v>228</v>
      </c>
      <c r="L18" s="13" t="s">
        <v>215</v>
      </c>
      <c r="M18" s="13"/>
      <c r="N18" s="13" t="s">
        <v>215</v>
      </c>
      <c r="O18" s="13"/>
      <c r="P18" s="13"/>
      <c r="Q18" s="13" t="s">
        <v>215</v>
      </c>
      <c r="R18" s="13"/>
      <c r="S18" s="13"/>
      <c r="T18" s="13"/>
      <c r="U18" s="13"/>
      <c r="V18" s="13"/>
      <c r="W18" s="13" t="s">
        <v>228</v>
      </c>
      <c r="X18" s="13"/>
      <c r="Y18" s="13"/>
      <c r="Z18" s="13"/>
      <c r="AA18" s="17" t="s">
        <v>215</v>
      </c>
      <c r="AB18" s="13" t="s">
        <v>215</v>
      </c>
      <c r="AC18" s="13" t="s">
        <v>215</v>
      </c>
      <c r="AD18" s="13"/>
      <c r="AE18" s="13" t="s">
        <v>215</v>
      </c>
      <c r="AF18" t="s">
        <v>1705</v>
      </c>
    </row>
    <row r="19" spans="1:32" ht="23.1" customHeight="1" x14ac:dyDescent="0.25">
      <c r="A19" s="15" t="s">
        <v>1762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5"/>
      <c r="AC19" s="15"/>
      <c r="AD19" s="15"/>
      <c r="AE19" s="15"/>
      <c r="AF19" t="s">
        <v>1733</v>
      </c>
    </row>
    <row r="20" spans="1:32" ht="23.1" customHeight="1" x14ac:dyDescent="0.25">
      <c r="A20" s="15" t="s">
        <v>1763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15"/>
      <c r="AC20" s="15"/>
      <c r="AD20" s="15"/>
      <c r="AE20" s="15"/>
    </row>
    <row r="21" spans="1:32" ht="36" customHeight="1" x14ac:dyDescent="0.25">
      <c r="A21" s="14" t="s">
        <v>1764</v>
      </c>
      <c r="B21" s="13" t="s">
        <v>215</v>
      </c>
      <c r="C21" s="13" t="s">
        <v>215</v>
      </c>
      <c r="D21" s="13" t="s">
        <v>215</v>
      </c>
      <c r="E21" s="13" t="s">
        <v>215</v>
      </c>
      <c r="F21" s="13"/>
      <c r="G21" s="13" t="s">
        <v>215</v>
      </c>
      <c r="H21" s="13"/>
      <c r="I21" s="13" t="s">
        <v>215</v>
      </c>
      <c r="J21" s="13"/>
      <c r="K21" s="13" t="s">
        <v>225</v>
      </c>
      <c r="L21" s="13"/>
      <c r="M21" s="13" t="s">
        <v>215</v>
      </c>
      <c r="N21" s="13" t="s">
        <v>215</v>
      </c>
      <c r="O21" s="13"/>
      <c r="P21" s="13" t="s">
        <v>215</v>
      </c>
      <c r="Q21" s="13" t="s">
        <v>215</v>
      </c>
      <c r="R21" s="13"/>
      <c r="S21" s="13" t="s">
        <v>215</v>
      </c>
      <c r="T21" s="13"/>
      <c r="U21" s="13" t="s">
        <v>215</v>
      </c>
      <c r="V21" s="13" t="s">
        <v>215</v>
      </c>
      <c r="W21" s="13" t="s">
        <v>225</v>
      </c>
      <c r="X21" s="13"/>
      <c r="Y21" s="13" t="s">
        <v>215</v>
      </c>
      <c r="Z21" s="13" t="s">
        <v>215</v>
      </c>
      <c r="AA21" s="17" t="s">
        <v>215</v>
      </c>
      <c r="AB21" s="13" t="s">
        <v>215</v>
      </c>
      <c r="AC21" s="13" t="s">
        <v>215</v>
      </c>
      <c r="AD21" s="13" t="s">
        <v>215</v>
      </c>
      <c r="AE21" s="13" t="s">
        <v>215</v>
      </c>
      <c r="AF21" t="s">
        <v>1702</v>
      </c>
    </row>
    <row r="22" spans="1:32" ht="36" customHeight="1" x14ac:dyDescent="0.25">
      <c r="A22" s="14" t="s">
        <v>1765</v>
      </c>
      <c r="B22" s="13" t="s">
        <v>1687</v>
      </c>
      <c r="C22" s="13" t="s">
        <v>1688</v>
      </c>
      <c r="D22" s="13" t="s">
        <v>1689</v>
      </c>
      <c r="E22" s="13" t="s">
        <v>1690</v>
      </c>
      <c r="F22" s="13"/>
      <c r="G22" s="13" t="s">
        <v>1691</v>
      </c>
      <c r="H22" s="13"/>
      <c r="I22" s="13" t="s">
        <v>1692</v>
      </c>
      <c r="J22" s="13"/>
      <c r="K22" s="13" t="s">
        <v>228</v>
      </c>
      <c r="L22" s="13"/>
      <c r="M22" s="13" t="s">
        <v>300</v>
      </c>
      <c r="N22" s="13" t="s">
        <v>1693</v>
      </c>
      <c r="O22" s="13"/>
      <c r="P22" s="13" t="s">
        <v>1694</v>
      </c>
      <c r="Q22" s="13" t="s">
        <v>1695</v>
      </c>
      <c r="R22" s="13"/>
      <c r="S22" s="13" t="s">
        <v>1696</v>
      </c>
      <c r="T22" s="13"/>
      <c r="U22" s="13" t="s">
        <v>1697</v>
      </c>
      <c r="V22" s="13" t="s">
        <v>1698</v>
      </c>
      <c r="W22" s="13" t="s">
        <v>228</v>
      </c>
      <c r="X22" s="13"/>
      <c r="Y22" s="13" t="s">
        <v>1699</v>
      </c>
      <c r="Z22" s="13" t="s">
        <v>1695</v>
      </c>
      <c r="AA22" s="17" t="s">
        <v>215</v>
      </c>
      <c r="AB22" s="13" t="s">
        <v>1700</v>
      </c>
      <c r="AC22" s="13" t="s">
        <v>1701</v>
      </c>
      <c r="AD22" s="13" t="s">
        <v>1701</v>
      </c>
      <c r="AE22" s="13" t="s">
        <v>1701</v>
      </c>
      <c r="AF22" t="s">
        <v>1702</v>
      </c>
    </row>
    <row r="23" spans="1:32" ht="36" customHeight="1" x14ac:dyDescent="0.25">
      <c r="A23" s="14" t="s">
        <v>1730</v>
      </c>
      <c r="B23" s="13" t="s">
        <v>215</v>
      </c>
      <c r="C23" s="13"/>
      <c r="D23" s="13" t="s">
        <v>215</v>
      </c>
      <c r="E23" s="13" t="s">
        <v>215</v>
      </c>
      <c r="F23" s="13"/>
      <c r="G23" s="13"/>
      <c r="H23" s="13"/>
      <c r="I23" s="13"/>
      <c r="J23" s="13"/>
      <c r="K23" s="13"/>
      <c r="L23" s="13"/>
      <c r="M23" s="13"/>
      <c r="N23" s="13" t="s">
        <v>215</v>
      </c>
      <c r="O23" s="13"/>
      <c r="P23" s="13"/>
      <c r="Q23" s="13"/>
      <c r="R23" s="13"/>
      <c r="S23" s="13" t="s">
        <v>215</v>
      </c>
      <c r="T23" s="13"/>
      <c r="U23" s="13"/>
      <c r="V23" s="13"/>
      <c r="W23" s="13"/>
      <c r="X23" s="13"/>
      <c r="Y23" s="13"/>
      <c r="Z23" s="13"/>
      <c r="AA23" s="17" t="s">
        <v>215</v>
      </c>
      <c r="AB23" s="13"/>
      <c r="AC23" s="13" t="s">
        <v>215</v>
      </c>
      <c r="AD23" s="13"/>
      <c r="AE23" s="13" t="s">
        <v>215</v>
      </c>
      <c r="AF23" t="s">
        <v>1731</v>
      </c>
    </row>
    <row r="24" spans="1:32" ht="36" customHeight="1" x14ac:dyDescent="0.25">
      <c r="A24" s="14" t="s">
        <v>1732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 t="s">
        <v>215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215</v>
      </c>
      <c r="AB24" s="13"/>
      <c r="AC24" s="13" t="s">
        <v>215</v>
      </c>
      <c r="AD24" s="13"/>
      <c r="AE24" s="13"/>
      <c r="AF24" t="s">
        <v>1733</v>
      </c>
    </row>
    <row r="25" spans="1:32" ht="23.1" customHeight="1" x14ac:dyDescent="0.25">
      <c r="A25" s="15" t="s">
        <v>1766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15"/>
      <c r="AC25" s="15"/>
      <c r="AD25" s="15"/>
      <c r="AE25" s="15"/>
    </row>
    <row r="26" spans="1:32" ht="36" customHeight="1" x14ac:dyDescent="0.25">
      <c r="A26" s="14" t="s">
        <v>1767</v>
      </c>
      <c r="B26" s="13" t="s">
        <v>1707</v>
      </c>
      <c r="C26" s="13" t="s">
        <v>1708</v>
      </c>
      <c r="D26" s="13"/>
      <c r="E26" s="13" t="s">
        <v>1708</v>
      </c>
      <c r="F26" s="13" t="s">
        <v>1708</v>
      </c>
      <c r="G26" s="13" t="s">
        <v>1709</v>
      </c>
      <c r="H26" s="13" t="s">
        <v>1710</v>
      </c>
      <c r="I26" s="13" t="s">
        <v>1711</v>
      </c>
      <c r="J26" s="13"/>
      <c r="K26" s="13" t="s">
        <v>228</v>
      </c>
      <c r="L26" s="13" t="s">
        <v>225</v>
      </c>
      <c r="M26" s="13" t="s">
        <v>225</v>
      </c>
      <c r="N26" s="13" t="s">
        <v>1712</v>
      </c>
      <c r="O26" s="13" t="s">
        <v>225</v>
      </c>
      <c r="P26" s="13" t="s">
        <v>225</v>
      </c>
      <c r="Q26" s="13" t="s">
        <v>225</v>
      </c>
      <c r="R26" s="13" t="s">
        <v>225</v>
      </c>
      <c r="S26" s="13" t="s">
        <v>225</v>
      </c>
      <c r="T26" s="13" t="s">
        <v>225</v>
      </c>
      <c r="U26" s="13" t="s">
        <v>1713</v>
      </c>
      <c r="V26" s="13" t="s">
        <v>225</v>
      </c>
      <c r="W26" s="13" t="s">
        <v>228</v>
      </c>
      <c r="X26" s="13" t="s">
        <v>225</v>
      </c>
      <c r="Y26" s="13" t="s">
        <v>225</v>
      </c>
      <c r="Z26" s="13" t="s">
        <v>225</v>
      </c>
      <c r="AA26" s="17" t="s">
        <v>225</v>
      </c>
      <c r="AB26" s="13" t="s">
        <v>225</v>
      </c>
      <c r="AC26" s="13" t="s">
        <v>225</v>
      </c>
      <c r="AD26" s="13" t="s">
        <v>225</v>
      </c>
      <c r="AE26" s="13" t="s">
        <v>225</v>
      </c>
    </row>
    <row r="27" spans="1:32" ht="36" customHeight="1" x14ac:dyDescent="0.25">
      <c r="A27" s="14" t="s">
        <v>1768</v>
      </c>
      <c r="B27" s="13" t="s">
        <v>225</v>
      </c>
      <c r="C27" s="13"/>
      <c r="D27" s="13"/>
      <c r="E27" s="13" t="s">
        <v>225</v>
      </c>
      <c r="F27" s="13" t="s">
        <v>225</v>
      </c>
      <c r="G27" s="13"/>
      <c r="H27" s="13"/>
      <c r="I27" s="13" t="s">
        <v>215</v>
      </c>
      <c r="J27" s="13"/>
      <c r="K27" s="13"/>
      <c r="L27" s="13"/>
      <c r="M27" s="13"/>
      <c r="N27" s="13" t="s">
        <v>215</v>
      </c>
      <c r="O27" s="13"/>
      <c r="P27" s="13"/>
      <c r="Q27" s="13"/>
      <c r="R27" s="13"/>
      <c r="S27" s="13"/>
      <c r="T27" s="13"/>
      <c r="U27" s="13" t="s">
        <v>215</v>
      </c>
      <c r="V27" s="13"/>
      <c r="W27" s="13"/>
      <c r="X27" s="13"/>
      <c r="Y27" s="13"/>
      <c r="Z27" s="13"/>
      <c r="AA27" s="17" t="s">
        <v>225</v>
      </c>
      <c r="AB27" s="13"/>
      <c r="AC27" s="13"/>
      <c r="AD27" s="13"/>
      <c r="AE27" s="13"/>
    </row>
    <row r="28" spans="1:32" ht="23.1" customHeight="1" x14ac:dyDescent="0.25">
      <c r="A28" s="15" t="s">
        <v>1734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  <c r="AF28" t="s">
        <v>1735</v>
      </c>
    </row>
    <row r="29" spans="1:32" ht="36" customHeight="1" x14ac:dyDescent="0.25">
      <c r="A29" s="14" t="s">
        <v>1736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 t="s">
        <v>215</v>
      </c>
      <c r="M29" s="13"/>
      <c r="N29" s="13"/>
      <c r="O29" s="13"/>
      <c r="P29" s="13"/>
      <c r="Q29" s="13"/>
      <c r="R29" s="13"/>
      <c r="S29" s="13" t="s">
        <v>215</v>
      </c>
      <c r="T29" s="13"/>
      <c r="U29" s="13"/>
      <c r="V29" s="13"/>
      <c r="W29" s="13"/>
      <c r="X29" s="13"/>
      <c r="Y29" s="13"/>
      <c r="Z29" s="13"/>
      <c r="AA29" s="17" t="s">
        <v>225</v>
      </c>
      <c r="AB29" s="13"/>
      <c r="AC29" s="13"/>
      <c r="AD29" s="13"/>
      <c r="AE29" s="13"/>
      <c r="AF29" t="s">
        <v>1737</v>
      </c>
    </row>
    <row r="30" spans="1:32" ht="23.1" customHeight="1" x14ac:dyDescent="0.25">
      <c r="A30" s="15" t="s">
        <v>1623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  <c r="AB30" s="15"/>
      <c r="AC30" s="15"/>
      <c r="AD30" s="15"/>
      <c r="AE30" s="15"/>
    </row>
    <row r="31" spans="1:32" ht="36" customHeight="1" x14ac:dyDescent="0.25">
      <c r="A31" s="14" t="s">
        <v>1769</v>
      </c>
      <c r="B31" s="13" t="s">
        <v>1770</v>
      </c>
      <c r="C31" s="13" t="s">
        <v>1771</v>
      </c>
      <c r="D31" s="13" t="s">
        <v>1771</v>
      </c>
      <c r="E31" s="13" t="s">
        <v>1771</v>
      </c>
      <c r="F31" s="13" t="s">
        <v>1771</v>
      </c>
      <c r="G31" s="13" t="s">
        <v>1771</v>
      </c>
      <c r="H31" s="13" t="s">
        <v>1771</v>
      </c>
      <c r="I31" s="13" t="s">
        <v>1771</v>
      </c>
      <c r="J31" s="13" t="s">
        <v>1771</v>
      </c>
      <c r="K31" s="13" t="s">
        <v>1771</v>
      </c>
      <c r="L31" s="13" t="s">
        <v>1771</v>
      </c>
      <c r="M31" s="13" t="s">
        <v>1771</v>
      </c>
      <c r="N31" s="13" t="s">
        <v>1772</v>
      </c>
      <c r="O31" s="13" t="s">
        <v>1771</v>
      </c>
      <c r="P31" s="13" t="s">
        <v>1771</v>
      </c>
      <c r="Q31" s="13" t="s">
        <v>1771</v>
      </c>
      <c r="R31" s="13" t="s">
        <v>1771</v>
      </c>
      <c r="S31" s="13" t="s">
        <v>1771</v>
      </c>
      <c r="T31" s="13" t="s">
        <v>1771</v>
      </c>
      <c r="U31" s="13" t="s">
        <v>1771</v>
      </c>
      <c r="V31" s="13" t="s">
        <v>1771</v>
      </c>
      <c r="W31" s="13" t="s">
        <v>1771</v>
      </c>
      <c r="X31" s="13" t="s">
        <v>1771</v>
      </c>
      <c r="Y31" s="13" t="s">
        <v>1771</v>
      </c>
      <c r="Z31" s="13" t="s">
        <v>1771</v>
      </c>
      <c r="AA31" s="17" t="s">
        <v>1773</v>
      </c>
      <c r="AB31" s="13" t="s">
        <v>1771</v>
      </c>
      <c r="AC31" s="13" t="s">
        <v>1771</v>
      </c>
      <c r="AD31" s="13" t="s">
        <v>1771</v>
      </c>
      <c r="AE31" s="13" t="s">
        <v>1771</v>
      </c>
    </row>
    <row r="32" spans="1:32" ht="36" customHeight="1" x14ac:dyDescent="0.25">
      <c r="A32" s="14" t="s">
        <v>1774</v>
      </c>
      <c r="B32" s="13" t="s">
        <v>1775</v>
      </c>
      <c r="C32" s="13" t="s">
        <v>1776</v>
      </c>
      <c r="D32" s="13" t="s">
        <v>1777</v>
      </c>
      <c r="E32" s="13" t="s">
        <v>1778</v>
      </c>
      <c r="F32" s="13" t="s">
        <v>1779</v>
      </c>
      <c r="G32" s="13" t="s">
        <v>1780</v>
      </c>
      <c r="H32" s="13" t="s">
        <v>1781</v>
      </c>
      <c r="I32" s="13" t="s">
        <v>1782</v>
      </c>
      <c r="J32" s="13" t="s">
        <v>1783</v>
      </c>
      <c r="K32" s="13" t="s">
        <v>1784</v>
      </c>
      <c r="L32" s="13" t="s">
        <v>1785</v>
      </c>
      <c r="M32" s="13" t="s">
        <v>1786</v>
      </c>
      <c r="N32" s="13" t="s">
        <v>1787</v>
      </c>
      <c r="O32" s="13" t="s">
        <v>1788</v>
      </c>
      <c r="P32" s="13" t="s">
        <v>1789</v>
      </c>
      <c r="Q32" s="13" t="s">
        <v>1790</v>
      </c>
      <c r="R32" s="13" t="s">
        <v>1791</v>
      </c>
      <c r="S32" s="13" t="s">
        <v>1792</v>
      </c>
      <c r="T32" s="13" t="s">
        <v>1793</v>
      </c>
      <c r="U32" s="13" t="s">
        <v>1794</v>
      </c>
      <c r="V32" s="13" t="s">
        <v>1795</v>
      </c>
      <c r="W32" s="13" t="s">
        <v>1796</v>
      </c>
      <c r="X32" s="13" t="s">
        <v>1797</v>
      </c>
      <c r="Y32" s="13" t="s">
        <v>1798</v>
      </c>
      <c r="Z32" s="13" t="s">
        <v>1799</v>
      </c>
      <c r="AA32" s="17" t="s">
        <v>1800</v>
      </c>
      <c r="AB32" s="13" t="s">
        <v>1801</v>
      </c>
      <c r="AC32" s="13" t="s">
        <v>1802</v>
      </c>
      <c r="AD32" s="13"/>
      <c r="AE32" s="13" t="s">
        <v>1803</v>
      </c>
      <c r="AF32" t="s">
        <v>1804</v>
      </c>
    </row>
    <row r="33" spans="1:32" ht="23.1" customHeight="1" x14ac:dyDescent="0.25">
      <c r="A33" s="15" t="s">
        <v>1805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15"/>
      <c r="AC33" s="15"/>
      <c r="AD33" s="15"/>
      <c r="AE33" s="15"/>
    </row>
    <row r="34" spans="1:32" ht="36" customHeight="1" x14ac:dyDescent="0.25">
      <c r="A34" s="14" t="s">
        <v>1806</v>
      </c>
      <c r="B34" s="13" t="s">
        <v>215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 t="s">
        <v>215</v>
      </c>
      <c r="AB34" s="13"/>
      <c r="AC34" s="13"/>
      <c r="AD34" s="13"/>
      <c r="AE34" s="13"/>
    </row>
    <row r="35" spans="1:32" ht="36" customHeight="1" x14ac:dyDescent="0.25">
      <c r="A35" s="14" t="s">
        <v>1807</v>
      </c>
      <c r="B35" s="13" t="s">
        <v>1236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215</v>
      </c>
      <c r="AB35" s="13"/>
      <c r="AC35" s="13"/>
      <c r="AD35" s="13"/>
      <c r="AE35" s="13"/>
      <c r="AF35" t="s">
        <v>1741</v>
      </c>
    </row>
    <row r="36" spans="1:32" ht="36" customHeight="1" x14ac:dyDescent="0.25">
      <c r="A36" s="14" t="s">
        <v>1808</v>
      </c>
      <c r="B36" s="13"/>
      <c r="C36" s="13"/>
      <c r="D36" s="13"/>
      <c r="E36" s="13"/>
      <c r="F36" s="13"/>
      <c r="G36" s="13"/>
      <c r="H36" s="13"/>
      <c r="I36" s="13"/>
      <c r="J36" s="13" t="s">
        <v>1809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225</v>
      </c>
      <c r="AB36" s="13"/>
      <c r="AC36" s="13"/>
      <c r="AD36" s="13"/>
      <c r="AE36" s="13"/>
      <c r="AF36" t="s">
        <v>1810</v>
      </c>
    </row>
    <row r="37" spans="1:32" ht="36" customHeight="1" x14ac:dyDescent="0.25">
      <c r="A37" s="14" t="s">
        <v>1811</v>
      </c>
      <c r="B37" s="13" t="s">
        <v>225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 t="s">
        <v>215</v>
      </c>
      <c r="AB37" s="13"/>
      <c r="AC37" s="13"/>
      <c r="AD37" s="13"/>
      <c r="AE37" s="13"/>
      <c r="AF37" t="s">
        <v>1359</v>
      </c>
    </row>
  </sheetData>
  <mergeCells count="1">
    <mergeCell ref="A1:A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8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20" sqref="AA20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Directory'!A1","Video &amp; Screen Sharing"),"Video &amp; Screen Sharing")</f>
        <v>Video &amp; Screen Sharing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1812</v>
      </c>
      <c r="B3" s="13" t="s">
        <v>1813</v>
      </c>
      <c r="C3" s="13"/>
      <c r="D3" s="13"/>
      <c r="E3" s="13" t="s">
        <v>1813</v>
      </c>
      <c r="F3" s="13" t="s">
        <v>1814</v>
      </c>
      <c r="G3" s="13" t="s">
        <v>1691</v>
      </c>
      <c r="H3" s="13" t="s">
        <v>1815</v>
      </c>
      <c r="I3" s="13" t="s">
        <v>228</v>
      </c>
      <c r="J3" s="13"/>
      <c r="K3" s="13" t="s">
        <v>1816</v>
      </c>
      <c r="L3" s="13" t="s">
        <v>1817</v>
      </c>
      <c r="M3" s="13" t="s">
        <v>1818</v>
      </c>
      <c r="N3" s="13" t="s">
        <v>662</v>
      </c>
      <c r="O3" s="13"/>
      <c r="P3" s="13"/>
      <c r="Q3" s="13"/>
      <c r="R3" s="13"/>
      <c r="S3" s="13" t="s">
        <v>1819</v>
      </c>
      <c r="T3" s="13"/>
      <c r="U3" s="13" t="s">
        <v>243</v>
      </c>
      <c r="V3" s="13" t="s">
        <v>496</v>
      </c>
      <c r="W3" s="13"/>
      <c r="X3" s="13"/>
      <c r="Y3" s="13" t="s">
        <v>1820</v>
      </c>
      <c r="Z3" s="13" t="s">
        <v>1821</v>
      </c>
      <c r="AA3" s="17" t="s">
        <v>1822</v>
      </c>
      <c r="AB3" s="13" t="s">
        <v>1823</v>
      </c>
      <c r="AC3" s="13"/>
      <c r="AD3" s="13"/>
      <c r="AE3" s="13"/>
    </row>
    <row r="4" spans="1:32" ht="36" customHeight="1" x14ac:dyDescent="0.25">
      <c r="A4" s="14" t="s">
        <v>1824</v>
      </c>
      <c r="B4" s="13" t="s">
        <v>1825</v>
      </c>
      <c r="C4" s="13"/>
      <c r="D4" s="13"/>
      <c r="E4" s="13" t="s">
        <v>1825</v>
      </c>
      <c r="F4" s="13" t="s">
        <v>1826</v>
      </c>
      <c r="G4" s="13" t="s">
        <v>1691</v>
      </c>
      <c r="H4" s="13"/>
      <c r="I4" s="13" t="s">
        <v>228</v>
      </c>
      <c r="J4" s="13"/>
      <c r="K4" s="13" t="s">
        <v>300</v>
      </c>
      <c r="L4" s="13"/>
      <c r="M4" s="13"/>
      <c r="N4" s="13" t="s">
        <v>1825</v>
      </c>
      <c r="O4" s="13"/>
      <c r="P4" s="13"/>
      <c r="Q4" s="13"/>
      <c r="R4" s="13"/>
      <c r="S4" s="13"/>
      <c r="T4" s="13"/>
      <c r="U4" s="13"/>
      <c r="V4" s="13" t="s">
        <v>496</v>
      </c>
      <c r="W4" s="13"/>
      <c r="X4" s="13"/>
      <c r="Y4" s="13"/>
      <c r="Z4" s="13" t="s">
        <v>1827</v>
      </c>
      <c r="AA4" s="17" t="s">
        <v>1828</v>
      </c>
      <c r="AB4" s="13"/>
      <c r="AC4" s="13"/>
      <c r="AD4" s="13"/>
      <c r="AE4" s="13"/>
      <c r="AF4" t="s">
        <v>1829</v>
      </c>
    </row>
    <row r="5" spans="1:32" ht="36" customHeight="1" x14ac:dyDescent="0.25">
      <c r="A5" s="14" t="s">
        <v>1830</v>
      </c>
      <c r="B5" s="13" t="s">
        <v>1831</v>
      </c>
      <c r="C5" s="13"/>
      <c r="D5" s="13"/>
      <c r="E5" s="13" t="s">
        <v>1832</v>
      </c>
      <c r="F5" s="13" t="s">
        <v>1833</v>
      </c>
      <c r="G5" s="13" t="s">
        <v>1834</v>
      </c>
      <c r="H5" s="13"/>
      <c r="I5" s="13" t="s">
        <v>228</v>
      </c>
      <c r="J5" s="13"/>
      <c r="K5" s="13" t="s">
        <v>300</v>
      </c>
      <c r="L5" s="13" t="s">
        <v>1835</v>
      </c>
      <c r="M5" s="13"/>
      <c r="N5" s="13" t="s">
        <v>1836</v>
      </c>
      <c r="O5" s="13"/>
      <c r="P5" s="13"/>
      <c r="Q5" s="13"/>
      <c r="R5" s="13"/>
      <c r="S5" s="13" t="s">
        <v>1837</v>
      </c>
      <c r="T5" s="13"/>
      <c r="U5" s="13" t="s">
        <v>243</v>
      </c>
      <c r="V5" s="13" t="s">
        <v>228</v>
      </c>
      <c r="W5" s="13" t="s">
        <v>228</v>
      </c>
      <c r="X5" s="13"/>
      <c r="Y5" s="13" t="s">
        <v>228</v>
      </c>
      <c r="Z5" s="13" t="s">
        <v>1031</v>
      </c>
      <c r="AA5" s="17" t="s">
        <v>1838</v>
      </c>
      <c r="AB5" s="13" t="s">
        <v>1822</v>
      </c>
      <c r="AC5" s="13"/>
      <c r="AD5" s="13"/>
      <c r="AE5" s="13" t="s">
        <v>1839</v>
      </c>
      <c r="AF5" t="s">
        <v>1840</v>
      </c>
    </row>
    <row r="6" spans="1:32" ht="36" customHeight="1" x14ac:dyDescent="0.25">
      <c r="A6" s="14" t="s">
        <v>1841</v>
      </c>
      <c r="B6" s="13" t="s">
        <v>1842</v>
      </c>
      <c r="C6" s="13" t="s">
        <v>1843</v>
      </c>
      <c r="D6" s="13" t="s">
        <v>1844</v>
      </c>
      <c r="E6" s="13" t="s">
        <v>215</v>
      </c>
      <c r="F6" s="13" t="s">
        <v>1845</v>
      </c>
      <c r="G6" s="13" t="s">
        <v>1691</v>
      </c>
      <c r="H6" s="13" t="s">
        <v>1846</v>
      </c>
      <c r="I6" s="13" t="s">
        <v>228</v>
      </c>
      <c r="J6" s="13" t="s">
        <v>215</v>
      </c>
      <c r="K6" s="13" t="s">
        <v>300</v>
      </c>
      <c r="L6" s="13" t="s">
        <v>215</v>
      </c>
      <c r="M6" s="13" t="s">
        <v>300</v>
      </c>
      <c r="N6" s="13" t="s">
        <v>215</v>
      </c>
      <c r="O6" s="13"/>
      <c r="P6" s="13" t="s">
        <v>215</v>
      </c>
      <c r="Q6" s="13" t="s">
        <v>215</v>
      </c>
      <c r="R6" s="13"/>
      <c r="S6" s="13" t="s">
        <v>215</v>
      </c>
      <c r="T6" s="13"/>
      <c r="U6" s="13" t="s">
        <v>1847</v>
      </c>
      <c r="V6" s="13"/>
      <c r="W6" s="13" t="s">
        <v>228</v>
      </c>
      <c r="X6" s="13"/>
      <c r="Y6" s="13" t="s">
        <v>1848</v>
      </c>
      <c r="Z6" s="13" t="s">
        <v>215</v>
      </c>
      <c r="AA6" s="17" t="s">
        <v>215</v>
      </c>
      <c r="AB6" s="13" t="s">
        <v>1849</v>
      </c>
      <c r="AC6" s="13" t="s">
        <v>215</v>
      </c>
      <c r="AD6" s="13"/>
      <c r="AE6" s="13" t="s">
        <v>215</v>
      </c>
      <c r="AF6" t="s">
        <v>1850</v>
      </c>
    </row>
    <row r="7" spans="1:32" ht="36" customHeight="1" x14ac:dyDescent="0.25">
      <c r="A7" s="14" t="s">
        <v>1851</v>
      </c>
      <c r="B7" s="13"/>
      <c r="C7" s="13"/>
      <c r="D7" s="13"/>
      <c r="E7" s="13" t="s">
        <v>1852</v>
      </c>
      <c r="F7" s="13" t="s">
        <v>1853</v>
      </c>
      <c r="G7" s="13" t="s">
        <v>1691</v>
      </c>
      <c r="H7" s="13"/>
      <c r="I7" s="13" t="s">
        <v>228</v>
      </c>
      <c r="J7" s="13"/>
      <c r="K7" s="13" t="s">
        <v>300</v>
      </c>
      <c r="L7" s="13" t="s">
        <v>215</v>
      </c>
      <c r="M7" s="13" t="s">
        <v>300</v>
      </c>
      <c r="N7" s="13"/>
      <c r="O7" s="13"/>
      <c r="P7" s="13"/>
      <c r="Q7" s="13"/>
      <c r="R7" s="13"/>
      <c r="S7" s="13"/>
      <c r="T7" s="13"/>
      <c r="U7" s="13"/>
      <c r="V7" s="13"/>
      <c r="W7" s="13" t="s">
        <v>228</v>
      </c>
      <c r="X7" s="13"/>
      <c r="Y7" s="13"/>
      <c r="Z7" s="13"/>
      <c r="AA7" s="17" t="s">
        <v>215</v>
      </c>
      <c r="AB7" s="13"/>
      <c r="AC7" s="13"/>
      <c r="AD7" s="13"/>
      <c r="AE7" s="13"/>
      <c r="AF7" t="s">
        <v>1850</v>
      </c>
    </row>
    <row r="8" spans="1:32" ht="36" customHeight="1" x14ac:dyDescent="0.25">
      <c r="A8" s="14" t="s">
        <v>1854</v>
      </c>
      <c r="B8" s="13"/>
      <c r="C8" s="13" t="s">
        <v>215</v>
      </c>
      <c r="D8" s="13" t="s">
        <v>215</v>
      </c>
      <c r="E8" s="13" t="s">
        <v>215</v>
      </c>
      <c r="F8" s="13" t="s">
        <v>215</v>
      </c>
      <c r="G8" s="13" t="s">
        <v>1691</v>
      </c>
      <c r="H8" s="13"/>
      <c r="I8" s="13" t="s">
        <v>228</v>
      </c>
      <c r="J8" s="13" t="s">
        <v>215</v>
      </c>
      <c r="K8" s="13" t="s">
        <v>300</v>
      </c>
      <c r="L8" s="13" t="s">
        <v>215</v>
      </c>
      <c r="M8" s="13" t="s">
        <v>300</v>
      </c>
      <c r="N8" s="13"/>
      <c r="O8" s="13"/>
      <c r="P8" s="13" t="s">
        <v>215</v>
      </c>
      <c r="Q8" s="13" t="s">
        <v>215</v>
      </c>
      <c r="R8" s="13"/>
      <c r="S8" s="13" t="s">
        <v>215</v>
      </c>
      <c r="T8" s="13"/>
      <c r="U8" s="13"/>
      <c r="V8" s="13"/>
      <c r="W8" s="13" t="s">
        <v>228</v>
      </c>
      <c r="X8" s="13"/>
      <c r="Y8" s="13"/>
      <c r="Z8" s="13"/>
      <c r="AA8" s="17" t="s">
        <v>215</v>
      </c>
      <c r="AB8" s="13" t="s">
        <v>1855</v>
      </c>
      <c r="AC8" s="13" t="s">
        <v>215</v>
      </c>
      <c r="AD8" s="13"/>
      <c r="AE8" s="13" t="s">
        <v>215</v>
      </c>
      <c r="AF8" t="s">
        <v>1346</v>
      </c>
    </row>
    <row r="9" spans="1:32" ht="36" customHeight="1" x14ac:dyDescent="0.25">
      <c r="A9" s="14" t="s">
        <v>1856</v>
      </c>
      <c r="B9" s="13" t="s">
        <v>1857</v>
      </c>
      <c r="C9" s="13"/>
      <c r="D9" s="13"/>
      <c r="E9" s="13"/>
      <c r="F9" s="13"/>
      <c r="G9" s="13" t="s">
        <v>1691</v>
      </c>
      <c r="H9" s="13"/>
      <c r="I9" s="13" t="s">
        <v>228</v>
      </c>
      <c r="J9" s="13"/>
      <c r="K9" s="13" t="s">
        <v>300</v>
      </c>
      <c r="L9" s="13" t="s">
        <v>1858</v>
      </c>
      <c r="M9" s="13" t="s">
        <v>300</v>
      </c>
      <c r="N9" s="13"/>
      <c r="O9" s="13"/>
      <c r="P9" s="13"/>
      <c r="Q9" s="13" t="s">
        <v>1859</v>
      </c>
      <c r="R9" s="13"/>
      <c r="S9" s="13"/>
      <c r="T9" s="13"/>
      <c r="U9" s="13"/>
      <c r="V9" s="13"/>
      <c r="W9" s="13" t="s">
        <v>228</v>
      </c>
      <c r="X9" s="13"/>
      <c r="Y9" s="13"/>
      <c r="Z9" s="13"/>
      <c r="AA9" s="17"/>
      <c r="AB9" s="13" t="s">
        <v>1860</v>
      </c>
      <c r="AC9" s="13"/>
      <c r="AD9" s="13"/>
      <c r="AE9" s="13"/>
      <c r="AF9" t="s">
        <v>1346</v>
      </c>
    </row>
    <row r="10" spans="1:32" ht="36" customHeight="1" x14ac:dyDescent="0.25">
      <c r="A10" s="14" t="s">
        <v>1861</v>
      </c>
      <c r="B10" s="13" t="s">
        <v>1862</v>
      </c>
      <c r="C10" s="13"/>
      <c r="D10" s="13"/>
      <c r="E10" s="13"/>
      <c r="F10" s="13" t="s">
        <v>1863</v>
      </c>
      <c r="G10" s="13" t="s">
        <v>1691</v>
      </c>
      <c r="H10" s="13"/>
      <c r="I10" s="13" t="s">
        <v>228</v>
      </c>
      <c r="J10" s="13"/>
      <c r="K10" s="13" t="s">
        <v>300</v>
      </c>
      <c r="L10" s="13" t="s">
        <v>1864</v>
      </c>
      <c r="M10" s="13" t="s">
        <v>300</v>
      </c>
      <c r="N10" s="13"/>
      <c r="O10" s="13"/>
      <c r="P10" s="13"/>
      <c r="Q10" s="13"/>
      <c r="R10" s="13"/>
      <c r="S10" s="13"/>
      <c r="T10" s="13"/>
      <c r="U10" s="13"/>
      <c r="V10" s="13"/>
      <c r="W10" s="13" t="s">
        <v>228</v>
      </c>
      <c r="X10" s="13"/>
      <c r="Y10" s="13"/>
      <c r="Z10" s="13"/>
      <c r="AA10" s="17" t="s">
        <v>1722</v>
      </c>
      <c r="AB10" s="13" t="s">
        <v>1722</v>
      </c>
      <c r="AC10" s="13"/>
      <c r="AD10" s="13"/>
      <c r="AE10" s="13" t="s">
        <v>1865</v>
      </c>
      <c r="AF10" t="s">
        <v>1866</v>
      </c>
    </row>
    <row r="11" spans="1:32" ht="23.1" customHeight="1" x14ac:dyDescent="0.25">
      <c r="A11" s="15" t="s">
        <v>1867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</row>
    <row r="12" spans="1:32" ht="36" customHeight="1" x14ac:dyDescent="0.25">
      <c r="A12" s="14" t="s">
        <v>1868</v>
      </c>
      <c r="B12" s="13" t="s">
        <v>215</v>
      </c>
      <c r="C12" s="13"/>
      <c r="D12" s="13"/>
      <c r="E12" s="13" t="s">
        <v>215</v>
      </c>
      <c r="F12" s="13" t="s">
        <v>215</v>
      </c>
      <c r="G12" s="13" t="s">
        <v>251</v>
      </c>
      <c r="H12" s="13"/>
      <c r="I12" s="13" t="s">
        <v>228</v>
      </c>
      <c r="J12" s="13" t="s">
        <v>215</v>
      </c>
      <c r="K12" s="13" t="s">
        <v>300</v>
      </c>
      <c r="L12" s="13" t="s">
        <v>215</v>
      </c>
      <c r="M12" s="13" t="s">
        <v>300</v>
      </c>
      <c r="N12" s="13" t="s">
        <v>215</v>
      </c>
      <c r="O12" s="13"/>
      <c r="P12" s="13" t="s">
        <v>215</v>
      </c>
      <c r="Q12" s="13" t="s">
        <v>215</v>
      </c>
      <c r="R12" s="13"/>
      <c r="S12" s="13" t="s">
        <v>215</v>
      </c>
      <c r="T12" s="13"/>
      <c r="U12" s="13" t="s">
        <v>215</v>
      </c>
      <c r="V12" s="13"/>
      <c r="W12" s="13" t="s">
        <v>228</v>
      </c>
      <c r="X12" s="13"/>
      <c r="Y12" s="13"/>
      <c r="Z12" s="13" t="s">
        <v>215</v>
      </c>
      <c r="AA12" s="17" t="s">
        <v>215</v>
      </c>
      <c r="AB12" s="13" t="s">
        <v>215</v>
      </c>
      <c r="AC12" s="13" t="s">
        <v>215</v>
      </c>
      <c r="AD12" s="13"/>
      <c r="AE12" s="13" t="s">
        <v>215</v>
      </c>
      <c r="AF12" t="s">
        <v>1850</v>
      </c>
    </row>
    <row r="13" spans="1:32" ht="36" customHeight="1" x14ac:dyDescent="0.25">
      <c r="A13" s="14" t="s">
        <v>1869</v>
      </c>
      <c r="B13" s="13" t="s">
        <v>1870</v>
      </c>
      <c r="C13" s="13"/>
      <c r="D13" s="13"/>
      <c r="E13" s="13" t="s">
        <v>1853</v>
      </c>
      <c r="F13" s="13" t="s">
        <v>215</v>
      </c>
      <c r="G13" s="13" t="s">
        <v>251</v>
      </c>
      <c r="H13" s="13"/>
      <c r="I13" s="13" t="s">
        <v>228</v>
      </c>
      <c r="J13" s="13"/>
      <c r="K13" s="13" t="s">
        <v>300</v>
      </c>
      <c r="L13" s="13" t="s">
        <v>215</v>
      </c>
      <c r="M13" s="13" t="s">
        <v>300</v>
      </c>
      <c r="N13" s="13"/>
      <c r="O13" s="13"/>
      <c r="P13" s="13"/>
      <c r="Q13" s="13"/>
      <c r="R13" s="13"/>
      <c r="S13" s="13"/>
      <c r="T13" s="13"/>
      <c r="U13" s="13"/>
      <c r="V13" s="13"/>
      <c r="W13" s="13" t="s">
        <v>228</v>
      </c>
      <c r="X13" s="13"/>
      <c r="Y13" s="13"/>
      <c r="Z13" s="13"/>
      <c r="AA13" s="17" t="s">
        <v>215</v>
      </c>
      <c r="AB13" s="13" t="s">
        <v>215</v>
      </c>
      <c r="AC13" s="13"/>
      <c r="AD13" s="13"/>
      <c r="AE13" s="13"/>
      <c r="AF13" t="s">
        <v>1850</v>
      </c>
    </row>
    <row r="14" spans="1:32" ht="36" customHeight="1" x14ac:dyDescent="0.25">
      <c r="A14" s="14" t="s">
        <v>1871</v>
      </c>
      <c r="B14" s="13" t="s">
        <v>1872</v>
      </c>
      <c r="C14" s="13"/>
      <c r="D14" s="13"/>
      <c r="E14" s="13"/>
      <c r="F14" s="13"/>
      <c r="G14" s="13" t="s">
        <v>251</v>
      </c>
      <c r="H14" s="13"/>
      <c r="I14" s="13" t="s">
        <v>228</v>
      </c>
      <c r="J14" s="13"/>
      <c r="K14" s="13" t="s">
        <v>300</v>
      </c>
      <c r="L14" s="13" t="s">
        <v>1873</v>
      </c>
      <c r="M14" s="13" t="s">
        <v>300</v>
      </c>
      <c r="N14" s="13"/>
      <c r="O14" s="13"/>
      <c r="P14" s="13"/>
      <c r="Q14" s="13"/>
      <c r="R14" s="13" t="s">
        <v>1874</v>
      </c>
      <c r="S14" s="13"/>
      <c r="T14" s="13"/>
      <c r="U14" s="13"/>
      <c r="V14" s="13"/>
      <c r="W14" s="13" t="s">
        <v>228</v>
      </c>
      <c r="X14" s="13"/>
      <c r="Y14" s="13"/>
      <c r="Z14" s="13"/>
      <c r="AA14" s="17" t="s">
        <v>215</v>
      </c>
      <c r="AB14" s="13" t="s">
        <v>1875</v>
      </c>
      <c r="AC14" s="13"/>
      <c r="AD14" s="13"/>
      <c r="AE14" s="13"/>
      <c r="AF14" t="s">
        <v>1876</v>
      </c>
    </row>
    <row r="15" spans="1:32" ht="36" customHeight="1" x14ac:dyDescent="0.25">
      <c r="A15" s="14" t="s">
        <v>1877</v>
      </c>
      <c r="B15" s="13" t="s">
        <v>1878</v>
      </c>
      <c r="C15" s="13"/>
      <c r="D15" s="13"/>
      <c r="E15" s="13"/>
      <c r="F15" s="13" t="s">
        <v>1879</v>
      </c>
      <c r="G15" s="13" t="s">
        <v>251</v>
      </c>
      <c r="H15" s="13"/>
      <c r="I15" s="13" t="s">
        <v>228</v>
      </c>
      <c r="J15" s="13"/>
      <c r="K15" s="13" t="s">
        <v>300</v>
      </c>
      <c r="L15" s="13" t="s">
        <v>1880</v>
      </c>
      <c r="M15" s="13" t="s">
        <v>300</v>
      </c>
      <c r="N15" s="13"/>
      <c r="O15" s="13"/>
      <c r="P15" s="13"/>
      <c r="Q15" s="13"/>
      <c r="R15" s="13"/>
      <c r="S15" s="13"/>
      <c r="T15" s="13"/>
      <c r="U15" s="13"/>
      <c r="V15" s="13"/>
      <c r="W15" s="13" t="s">
        <v>228</v>
      </c>
      <c r="X15" s="13"/>
      <c r="Y15" s="13"/>
      <c r="Z15" s="13"/>
      <c r="AA15" s="17"/>
      <c r="AB15" s="13"/>
      <c r="AC15" s="13"/>
      <c r="AD15" s="13"/>
      <c r="AE15" s="13"/>
      <c r="AF15" t="s">
        <v>1881</v>
      </c>
    </row>
    <row r="16" spans="1:32" ht="36" customHeight="1" x14ac:dyDescent="0.25">
      <c r="A16" s="14" t="s">
        <v>1882</v>
      </c>
      <c r="B16" s="13"/>
      <c r="C16" s="13"/>
      <c r="D16" s="13"/>
      <c r="E16" s="13"/>
      <c r="F16" s="13"/>
      <c r="G16" s="13" t="s">
        <v>1883</v>
      </c>
      <c r="H16" s="13" t="s">
        <v>1884</v>
      </c>
      <c r="I16" s="13" t="s">
        <v>228</v>
      </c>
      <c r="J16" s="13"/>
      <c r="K16" s="13" t="s">
        <v>300</v>
      </c>
      <c r="L16" s="13" t="s">
        <v>1885</v>
      </c>
      <c r="M16" s="13" t="s">
        <v>300</v>
      </c>
      <c r="N16" s="13"/>
      <c r="O16" s="13"/>
      <c r="P16" s="13"/>
      <c r="Q16" s="13"/>
      <c r="R16" s="13"/>
      <c r="S16" s="13"/>
      <c r="T16" s="13"/>
      <c r="U16" s="13"/>
      <c r="V16" s="13"/>
      <c r="W16" s="13" t="s">
        <v>228</v>
      </c>
      <c r="X16" s="13"/>
      <c r="Y16" s="13" t="s">
        <v>1886</v>
      </c>
      <c r="Z16" s="13"/>
      <c r="AA16" s="17" t="s">
        <v>215</v>
      </c>
      <c r="AB16" s="13" t="s">
        <v>215</v>
      </c>
      <c r="AC16" s="13"/>
      <c r="AD16" s="13"/>
      <c r="AE16" s="13"/>
      <c r="AF16" t="s">
        <v>1346</v>
      </c>
    </row>
    <row r="17" spans="1:32" ht="36" customHeight="1" x14ac:dyDescent="0.25">
      <c r="A17" s="14" t="s">
        <v>1887</v>
      </c>
      <c r="B17" s="13" t="s">
        <v>215</v>
      </c>
      <c r="C17" s="13"/>
      <c r="D17" s="13"/>
      <c r="E17" s="13" t="s">
        <v>215</v>
      </c>
      <c r="F17" s="13" t="s">
        <v>215</v>
      </c>
      <c r="G17" s="13" t="s">
        <v>251</v>
      </c>
      <c r="H17" s="13"/>
      <c r="I17" s="13" t="s">
        <v>228</v>
      </c>
      <c r="J17" s="13"/>
      <c r="K17" s="13" t="s">
        <v>300</v>
      </c>
      <c r="L17" s="13" t="s">
        <v>215</v>
      </c>
      <c r="M17" s="13" t="s">
        <v>300</v>
      </c>
      <c r="N17" s="13" t="s">
        <v>215</v>
      </c>
      <c r="O17" s="13"/>
      <c r="P17" s="13" t="s">
        <v>215</v>
      </c>
      <c r="Q17" s="13" t="s">
        <v>215</v>
      </c>
      <c r="R17" s="13"/>
      <c r="S17" s="13" t="s">
        <v>215</v>
      </c>
      <c r="T17" s="13"/>
      <c r="U17" s="13"/>
      <c r="V17" s="13"/>
      <c r="W17" s="13" t="s">
        <v>228</v>
      </c>
      <c r="X17" s="13"/>
      <c r="Y17" s="13"/>
      <c r="Z17" s="13"/>
      <c r="AA17" s="17" t="s">
        <v>215</v>
      </c>
      <c r="AB17" s="13" t="s">
        <v>1888</v>
      </c>
      <c r="AC17" s="13" t="s">
        <v>215</v>
      </c>
      <c r="AD17" s="13"/>
      <c r="AE17" s="13" t="s">
        <v>215</v>
      </c>
      <c r="AF17" t="s">
        <v>1346</v>
      </c>
    </row>
    <row r="18" spans="1:32" ht="23.1" customHeight="1" x14ac:dyDescent="0.25">
      <c r="A18" s="15" t="s">
        <v>1889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  <c r="AF18" t="s">
        <v>1866</v>
      </c>
    </row>
  </sheetData>
  <mergeCells count="1">
    <mergeCell ref="A1:A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2"/>
  <sheetViews>
    <sheetView workbookViewId="0">
      <pane xSplit="2" ySplit="2" topLeftCell="X35" activePane="bottomRight" state="frozen"/>
      <selection pane="topRight" activeCell="C1" sqref="C1"/>
      <selection pane="bottomLeft" activeCell="A3" sqref="A3"/>
      <selection pane="bottomRight" activeCell="AA51" sqref="AA51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Directory'!A1","Screen Share / Video Quality — Free vs Paid"),"Screen Share / Video Quality — Free vs Paid")</f>
        <v>Screen Share / Video Quality — Free vs Paid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1890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1891</v>
      </c>
      <c r="B4" s="13" t="s">
        <v>215</v>
      </c>
      <c r="C4" s="13" t="s">
        <v>1892</v>
      </c>
      <c r="D4" s="13" t="s">
        <v>215</v>
      </c>
      <c r="E4" s="13"/>
      <c r="F4" s="13" t="s">
        <v>215</v>
      </c>
      <c r="G4" s="13" t="s">
        <v>251</v>
      </c>
      <c r="H4" s="13"/>
      <c r="I4" s="13" t="s">
        <v>225</v>
      </c>
      <c r="J4" s="13"/>
      <c r="K4" s="13" t="s">
        <v>300</v>
      </c>
      <c r="L4" s="13" t="s">
        <v>215</v>
      </c>
      <c r="M4" s="13" t="s">
        <v>300</v>
      </c>
      <c r="N4" s="13" t="s">
        <v>215</v>
      </c>
      <c r="O4" s="13"/>
      <c r="P4" s="13" t="s">
        <v>215</v>
      </c>
      <c r="Q4" s="13" t="s">
        <v>215</v>
      </c>
      <c r="R4" s="13"/>
      <c r="S4" s="13" t="s">
        <v>215</v>
      </c>
      <c r="T4" s="13"/>
      <c r="U4" s="13" t="s">
        <v>225</v>
      </c>
      <c r="V4" s="13"/>
      <c r="W4" s="13" t="s">
        <v>228</v>
      </c>
      <c r="X4" s="13" t="s">
        <v>215</v>
      </c>
      <c r="Y4" s="13" t="s">
        <v>225</v>
      </c>
      <c r="Z4" s="13"/>
      <c r="AA4" s="17" t="s">
        <v>215</v>
      </c>
      <c r="AB4" s="13"/>
      <c r="AC4" s="13" t="s">
        <v>215</v>
      </c>
      <c r="AD4" s="13"/>
      <c r="AE4" s="13" t="s">
        <v>215</v>
      </c>
    </row>
    <row r="5" spans="1:32" ht="36" customHeight="1" x14ac:dyDescent="0.25">
      <c r="A5" s="14" t="s">
        <v>1893</v>
      </c>
      <c r="B5" s="13" t="s">
        <v>215</v>
      </c>
      <c r="C5" s="13" t="s">
        <v>1894</v>
      </c>
      <c r="D5" s="13" t="s">
        <v>215</v>
      </c>
      <c r="E5" s="13" t="s">
        <v>215</v>
      </c>
      <c r="F5" s="13" t="s">
        <v>215</v>
      </c>
      <c r="G5" s="13" t="s">
        <v>251</v>
      </c>
      <c r="H5" s="13" t="s">
        <v>1895</v>
      </c>
      <c r="I5" s="13" t="s">
        <v>225</v>
      </c>
      <c r="J5" s="13" t="s">
        <v>1896</v>
      </c>
      <c r="K5" s="13" t="s">
        <v>1897</v>
      </c>
      <c r="L5" s="13" t="s">
        <v>215</v>
      </c>
      <c r="M5" s="13" t="s">
        <v>300</v>
      </c>
      <c r="N5" s="13" t="s">
        <v>215</v>
      </c>
      <c r="O5" s="13"/>
      <c r="P5" s="13" t="s">
        <v>215</v>
      </c>
      <c r="Q5" s="13" t="s">
        <v>215</v>
      </c>
      <c r="R5" s="13"/>
      <c r="S5" s="13" t="s">
        <v>215</v>
      </c>
      <c r="T5" s="13" t="s">
        <v>215</v>
      </c>
      <c r="U5" s="13" t="s">
        <v>215</v>
      </c>
      <c r="V5" s="13" t="s">
        <v>496</v>
      </c>
      <c r="W5" s="13" t="s">
        <v>228</v>
      </c>
      <c r="X5" s="13" t="s">
        <v>215</v>
      </c>
      <c r="Y5" s="13" t="s">
        <v>215</v>
      </c>
      <c r="Z5" s="13" t="s">
        <v>215</v>
      </c>
      <c r="AA5" s="17" t="s">
        <v>215</v>
      </c>
      <c r="AB5" s="13" t="s">
        <v>1898</v>
      </c>
      <c r="AC5" s="13" t="s">
        <v>215</v>
      </c>
      <c r="AD5" s="13"/>
      <c r="AE5" s="13" t="s">
        <v>215</v>
      </c>
      <c r="AF5" t="s">
        <v>215</v>
      </c>
    </row>
    <row r="6" spans="1:32" ht="36" customHeight="1" x14ac:dyDescent="0.25">
      <c r="A6" s="14" t="s">
        <v>1899</v>
      </c>
      <c r="B6" s="13" t="s">
        <v>215</v>
      </c>
      <c r="C6" s="13"/>
      <c r="D6" s="13" t="s">
        <v>215</v>
      </c>
      <c r="E6" s="13" t="s">
        <v>215</v>
      </c>
      <c r="F6" s="13" t="s">
        <v>215</v>
      </c>
      <c r="G6" s="13" t="s">
        <v>215</v>
      </c>
      <c r="H6" s="13" t="s">
        <v>215</v>
      </c>
      <c r="I6" s="13" t="s">
        <v>225</v>
      </c>
      <c r="J6" s="13" t="s">
        <v>1900</v>
      </c>
      <c r="K6" s="13" t="s">
        <v>215</v>
      </c>
      <c r="L6" s="13" t="s">
        <v>215</v>
      </c>
      <c r="M6" s="13" t="s">
        <v>215</v>
      </c>
      <c r="N6" s="13" t="s">
        <v>215</v>
      </c>
      <c r="O6" s="13"/>
      <c r="P6" s="13"/>
      <c r="Q6" s="13" t="s">
        <v>215</v>
      </c>
      <c r="R6" s="13"/>
      <c r="S6" s="13" t="s">
        <v>215</v>
      </c>
      <c r="T6" s="13" t="s">
        <v>215</v>
      </c>
      <c r="U6" s="13" t="s">
        <v>215</v>
      </c>
      <c r="V6" s="13" t="s">
        <v>225</v>
      </c>
      <c r="W6" s="13" t="s">
        <v>225</v>
      </c>
      <c r="X6" s="13" t="s">
        <v>215</v>
      </c>
      <c r="Y6" s="13" t="s">
        <v>215</v>
      </c>
      <c r="Z6" s="13" t="s">
        <v>215</v>
      </c>
      <c r="AA6" s="17" t="s">
        <v>215</v>
      </c>
      <c r="AB6" s="13" t="s">
        <v>215</v>
      </c>
      <c r="AC6" s="13" t="s">
        <v>215</v>
      </c>
      <c r="AD6" s="13"/>
      <c r="AE6" s="13" t="s">
        <v>215</v>
      </c>
      <c r="AF6" t="s">
        <v>215</v>
      </c>
    </row>
    <row r="7" spans="1:32" ht="23.1" customHeight="1" x14ac:dyDescent="0.25">
      <c r="A7" s="15" t="s">
        <v>1901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5"/>
      <c r="AC7" s="15"/>
      <c r="AD7" s="15"/>
      <c r="AE7" s="15"/>
    </row>
    <row r="8" spans="1:32" ht="36" customHeight="1" x14ac:dyDescent="0.25">
      <c r="A8" s="14" t="s">
        <v>1902</v>
      </c>
      <c r="B8" s="13" t="s">
        <v>215</v>
      </c>
      <c r="C8" s="13"/>
      <c r="D8" s="13"/>
      <c r="E8" s="13" t="s">
        <v>215</v>
      </c>
      <c r="F8" s="13"/>
      <c r="G8" s="13"/>
      <c r="H8" s="13"/>
      <c r="I8" s="13"/>
      <c r="J8" s="13"/>
      <c r="K8" s="13"/>
      <c r="L8" s="13"/>
      <c r="M8" s="13"/>
      <c r="N8" s="13" t="s">
        <v>215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215</v>
      </c>
      <c r="AB8" s="13"/>
      <c r="AC8" s="13"/>
      <c r="AD8" s="13"/>
      <c r="AE8" s="13"/>
      <c r="AF8" t="s">
        <v>215</v>
      </c>
    </row>
    <row r="9" spans="1:32" ht="36" customHeight="1" x14ac:dyDescent="0.25">
      <c r="A9" s="14" t="s">
        <v>1903</v>
      </c>
      <c r="B9" s="13" t="s">
        <v>670</v>
      </c>
      <c r="C9" s="13"/>
      <c r="D9" s="13"/>
      <c r="E9" s="13" t="s">
        <v>1904</v>
      </c>
      <c r="F9" s="13"/>
      <c r="G9" s="13"/>
      <c r="H9" s="13"/>
      <c r="I9" s="13"/>
      <c r="J9" s="13"/>
      <c r="K9" s="13"/>
      <c r="L9" s="13"/>
      <c r="M9" s="13"/>
      <c r="N9" s="13" t="s">
        <v>1904</v>
      </c>
      <c r="O9" s="13"/>
      <c r="P9" s="13"/>
      <c r="Q9" s="13"/>
      <c r="R9" s="13"/>
      <c r="S9" s="13" t="s">
        <v>670</v>
      </c>
      <c r="T9" s="13"/>
      <c r="U9" s="13"/>
      <c r="V9" s="13"/>
      <c r="W9" s="13"/>
      <c r="X9" s="13"/>
      <c r="Y9" s="13"/>
      <c r="Z9" s="13"/>
      <c r="AA9" s="17" t="s">
        <v>1904</v>
      </c>
      <c r="AB9" s="13"/>
      <c r="AC9" s="13"/>
      <c r="AD9" s="13"/>
      <c r="AE9" s="13"/>
      <c r="AF9" t="s">
        <v>673</v>
      </c>
    </row>
    <row r="10" spans="1:32" ht="36" customHeight="1" x14ac:dyDescent="0.25">
      <c r="A10" s="14" t="s">
        <v>1905</v>
      </c>
      <c r="B10" s="13" t="s">
        <v>215</v>
      </c>
      <c r="C10" s="13"/>
      <c r="D10" s="13"/>
      <c r="E10" s="13" t="s">
        <v>215</v>
      </c>
      <c r="F10" s="13" t="s">
        <v>215</v>
      </c>
      <c r="G10" s="13"/>
      <c r="H10" s="13"/>
      <c r="I10" s="13"/>
      <c r="J10" s="13" t="s">
        <v>215</v>
      </c>
      <c r="K10" s="13"/>
      <c r="L10" s="13"/>
      <c r="M10" s="13"/>
      <c r="N10" s="13" t="s">
        <v>215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215</v>
      </c>
      <c r="AB10" s="13" t="s">
        <v>215</v>
      </c>
      <c r="AC10" s="13"/>
      <c r="AD10" s="13"/>
      <c r="AE10" s="13"/>
      <c r="AF10" t="s">
        <v>215</v>
      </c>
    </row>
    <row r="11" spans="1:32" ht="36" customHeight="1" x14ac:dyDescent="0.25">
      <c r="A11" s="14" t="s">
        <v>1906</v>
      </c>
      <c r="B11" s="13" t="s">
        <v>670</v>
      </c>
      <c r="C11" s="13"/>
      <c r="D11" s="13"/>
      <c r="E11" s="13" t="s">
        <v>670</v>
      </c>
      <c r="F11" s="13" t="s">
        <v>1907</v>
      </c>
      <c r="G11" s="13"/>
      <c r="H11" s="13"/>
      <c r="I11" s="13"/>
      <c r="J11" s="13" t="s">
        <v>668</v>
      </c>
      <c r="K11" s="13"/>
      <c r="L11" s="13"/>
      <c r="M11" s="13"/>
      <c r="N11" s="13" t="s">
        <v>670</v>
      </c>
      <c r="O11" s="13"/>
      <c r="P11" s="13"/>
      <c r="Q11" s="13"/>
      <c r="R11" s="13"/>
      <c r="S11" s="13" t="s">
        <v>670</v>
      </c>
      <c r="T11" s="13"/>
      <c r="U11" s="13"/>
      <c r="V11" s="13"/>
      <c r="W11" s="13"/>
      <c r="X11" s="13"/>
      <c r="Y11" s="13"/>
      <c r="Z11" s="13"/>
      <c r="AA11" s="17" t="s">
        <v>670</v>
      </c>
      <c r="AB11" s="13" t="s">
        <v>670</v>
      </c>
      <c r="AC11" s="13"/>
      <c r="AD11" s="13"/>
      <c r="AE11" s="13" t="s">
        <v>670</v>
      </c>
      <c r="AF11" t="s">
        <v>673</v>
      </c>
    </row>
    <row r="12" spans="1:32" ht="36" customHeight="1" x14ac:dyDescent="0.25">
      <c r="A12" s="14" t="s">
        <v>1908</v>
      </c>
      <c r="B12" s="13" t="s">
        <v>1909</v>
      </c>
      <c r="C12" s="13"/>
      <c r="D12" s="13"/>
      <c r="E12" s="13" t="s">
        <v>1909</v>
      </c>
      <c r="F12" s="13"/>
      <c r="G12" s="13"/>
      <c r="H12" s="13"/>
      <c r="I12" s="13"/>
      <c r="J12" s="13"/>
      <c r="K12" s="13"/>
      <c r="L12" s="13"/>
      <c r="M12" s="13"/>
      <c r="N12" s="13" t="s">
        <v>1909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1910</v>
      </c>
      <c r="AB12" s="13"/>
      <c r="AC12" s="13"/>
      <c r="AD12" s="13"/>
      <c r="AE12" s="13"/>
      <c r="AF12" t="s">
        <v>1909</v>
      </c>
    </row>
    <row r="13" spans="1:32" ht="36" customHeight="1" x14ac:dyDescent="0.25">
      <c r="A13" s="14" t="s">
        <v>1911</v>
      </c>
      <c r="B13" s="13" t="s">
        <v>215</v>
      </c>
      <c r="C13" s="13"/>
      <c r="D13" s="13"/>
      <c r="E13" s="13" t="s">
        <v>215</v>
      </c>
      <c r="F13" s="13" t="s">
        <v>215</v>
      </c>
      <c r="G13" s="13"/>
      <c r="H13" s="13"/>
      <c r="I13" s="13"/>
      <c r="J13" s="13" t="s">
        <v>215</v>
      </c>
      <c r="K13" s="13"/>
      <c r="L13" s="13"/>
      <c r="M13" s="13"/>
      <c r="N13" s="13" t="s">
        <v>215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7" t="s">
        <v>215</v>
      </c>
      <c r="AB13" s="13" t="s">
        <v>215</v>
      </c>
      <c r="AC13" s="13"/>
      <c r="AD13" s="13"/>
      <c r="AE13" s="13"/>
      <c r="AF13" t="s">
        <v>215</v>
      </c>
    </row>
    <row r="14" spans="1:32" ht="36" customHeight="1" x14ac:dyDescent="0.25">
      <c r="A14" s="14" t="s">
        <v>1912</v>
      </c>
      <c r="B14" s="13" t="s">
        <v>665</v>
      </c>
      <c r="C14" s="13"/>
      <c r="D14" s="13"/>
      <c r="E14" s="13" t="s">
        <v>666</v>
      </c>
      <c r="F14" s="13" t="s">
        <v>667</v>
      </c>
      <c r="G14" s="13"/>
      <c r="H14" s="13"/>
      <c r="I14" s="13"/>
      <c r="J14" s="13" t="s">
        <v>668</v>
      </c>
      <c r="K14" s="13"/>
      <c r="L14" s="13"/>
      <c r="M14" s="13"/>
      <c r="N14" s="13" t="s">
        <v>669</v>
      </c>
      <c r="O14" s="13"/>
      <c r="P14" s="13"/>
      <c r="Q14" s="13"/>
      <c r="R14" s="13"/>
      <c r="S14" s="13" t="s">
        <v>670</v>
      </c>
      <c r="T14" s="13"/>
      <c r="U14" s="13"/>
      <c r="V14" s="13"/>
      <c r="W14" s="13"/>
      <c r="X14" s="13"/>
      <c r="Y14" s="13"/>
      <c r="Z14" s="13"/>
      <c r="AA14" s="17" t="s">
        <v>670</v>
      </c>
      <c r="AB14" s="13" t="s">
        <v>670</v>
      </c>
      <c r="AC14" s="13"/>
      <c r="AD14" s="13"/>
      <c r="AE14" s="13" t="s">
        <v>672</v>
      </c>
      <c r="AF14" t="s">
        <v>673</v>
      </c>
    </row>
    <row r="15" spans="1:32" ht="36" customHeight="1" x14ac:dyDescent="0.25">
      <c r="A15" s="14" t="s">
        <v>1913</v>
      </c>
      <c r="B15" s="13" t="s">
        <v>1910</v>
      </c>
      <c r="C15" s="13"/>
      <c r="D15" s="13"/>
      <c r="E15" s="13" t="s">
        <v>1910</v>
      </c>
      <c r="F15" s="13" t="s">
        <v>1910</v>
      </c>
      <c r="G15" s="13"/>
      <c r="H15" s="13"/>
      <c r="I15" s="13"/>
      <c r="J15" s="13" t="s">
        <v>1914</v>
      </c>
      <c r="K15" s="13"/>
      <c r="L15" s="13"/>
      <c r="M15" s="13"/>
      <c r="N15" s="13" t="s">
        <v>1910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1910</v>
      </c>
      <c r="AB15" s="13"/>
      <c r="AC15" s="13"/>
      <c r="AD15" s="13"/>
      <c r="AE15" s="13"/>
      <c r="AF15" t="s">
        <v>1909</v>
      </c>
    </row>
    <row r="16" spans="1:32" ht="36" customHeight="1" x14ac:dyDescent="0.25">
      <c r="A16" s="14" t="s">
        <v>1915</v>
      </c>
      <c r="B16" s="13"/>
      <c r="C16" s="13"/>
      <c r="D16" s="13"/>
      <c r="E16" s="13" t="s">
        <v>1916</v>
      </c>
      <c r="F16" s="13" t="s">
        <v>215</v>
      </c>
      <c r="G16" s="13"/>
      <c r="H16" s="13"/>
      <c r="I16" s="13"/>
      <c r="J16" s="13"/>
      <c r="K16" s="13"/>
      <c r="L16" s="13"/>
      <c r="M16" s="13"/>
      <c r="N16" s="13" t="s">
        <v>215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215</v>
      </c>
      <c r="AB16" s="13"/>
      <c r="AC16" s="13"/>
      <c r="AD16" s="13"/>
      <c r="AE16" s="13"/>
      <c r="AF16" t="s">
        <v>215</v>
      </c>
    </row>
    <row r="17" spans="1:32" ht="36" customHeight="1" x14ac:dyDescent="0.25">
      <c r="A17" s="14" t="s">
        <v>1917</v>
      </c>
      <c r="B17" s="13"/>
      <c r="C17" s="13"/>
      <c r="D17" s="13"/>
      <c r="E17" s="13" t="s">
        <v>666</v>
      </c>
      <c r="F17" s="13" t="s">
        <v>667</v>
      </c>
      <c r="G17" s="13"/>
      <c r="H17" s="13"/>
      <c r="I17" s="13"/>
      <c r="J17" s="13"/>
      <c r="K17" s="13"/>
      <c r="L17" s="13"/>
      <c r="M17" s="13"/>
      <c r="N17" s="13" t="s">
        <v>675</v>
      </c>
      <c r="O17" s="13"/>
      <c r="P17" s="13"/>
      <c r="Q17" s="13"/>
      <c r="R17" s="13"/>
      <c r="S17" s="13" t="s">
        <v>676</v>
      </c>
      <c r="T17" s="13"/>
      <c r="U17" s="13"/>
      <c r="V17" s="13"/>
      <c r="W17" s="13"/>
      <c r="X17" s="13"/>
      <c r="Y17" s="13"/>
      <c r="Z17" s="13"/>
      <c r="AA17" s="17" t="s">
        <v>671</v>
      </c>
      <c r="AB17" s="13"/>
      <c r="AC17" s="13"/>
      <c r="AD17" s="13"/>
      <c r="AE17" s="13" t="s">
        <v>672</v>
      </c>
      <c r="AF17" t="s">
        <v>673</v>
      </c>
    </row>
    <row r="18" spans="1:32" ht="36" customHeight="1" x14ac:dyDescent="0.25">
      <c r="A18" s="14" t="s">
        <v>1918</v>
      </c>
      <c r="B18" s="13"/>
      <c r="C18" s="13"/>
      <c r="D18" s="13"/>
      <c r="E18" s="13" t="s">
        <v>1910</v>
      </c>
      <c r="F18" s="13" t="s">
        <v>1910</v>
      </c>
      <c r="G18" s="13"/>
      <c r="H18" s="13"/>
      <c r="I18" s="13"/>
      <c r="J18" s="13"/>
      <c r="K18" s="13"/>
      <c r="L18" s="13"/>
      <c r="M18" s="13"/>
      <c r="N18" s="13" t="s">
        <v>1910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 t="s">
        <v>1910</v>
      </c>
      <c r="AB18" s="13"/>
      <c r="AC18" s="13"/>
      <c r="AD18" s="13"/>
      <c r="AE18" s="13"/>
      <c r="AF18" t="s">
        <v>1909</v>
      </c>
    </row>
    <row r="19" spans="1:32" ht="36" customHeight="1" x14ac:dyDescent="0.25">
      <c r="A19" s="14" t="s">
        <v>1919</v>
      </c>
      <c r="B19" s="13" t="s">
        <v>215</v>
      </c>
      <c r="C19" s="13"/>
      <c r="D19" s="13"/>
      <c r="E19" s="13" t="s">
        <v>215</v>
      </c>
      <c r="F19" s="13" t="s">
        <v>1920</v>
      </c>
      <c r="G19" s="13"/>
      <c r="H19" s="13"/>
      <c r="I19" s="13"/>
      <c r="J19" s="13"/>
      <c r="K19" s="13"/>
      <c r="L19" s="13"/>
      <c r="M19" s="13"/>
      <c r="N19" s="13" t="s">
        <v>215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1920</v>
      </c>
      <c r="AB19" s="13"/>
      <c r="AC19" s="13"/>
      <c r="AD19" s="13"/>
      <c r="AE19" s="13"/>
      <c r="AF19" t="s">
        <v>215</v>
      </c>
    </row>
    <row r="20" spans="1:32" ht="36" customHeight="1" x14ac:dyDescent="0.25">
      <c r="A20" s="14" t="s">
        <v>1921</v>
      </c>
      <c r="B20" s="13" t="s">
        <v>665</v>
      </c>
      <c r="C20" s="13"/>
      <c r="D20" s="13"/>
      <c r="E20" s="13" t="s">
        <v>666</v>
      </c>
      <c r="F20" s="13" t="s">
        <v>228</v>
      </c>
      <c r="G20" s="13"/>
      <c r="H20" s="13"/>
      <c r="I20" s="13"/>
      <c r="J20" s="13"/>
      <c r="K20" s="13"/>
      <c r="L20" s="13"/>
      <c r="M20" s="13"/>
      <c r="N20" s="13" t="s">
        <v>675</v>
      </c>
      <c r="O20" s="13"/>
      <c r="P20" s="13"/>
      <c r="Q20" s="13"/>
      <c r="R20" s="13"/>
      <c r="S20" s="13" t="s">
        <v>676</v>
      </c>
      <c r="T20" s="13"/>
      <c r="U20" s="13"/>
      <c r="V20" s="13"/>
      <c r="W20" s="13"/>
      <c r="X20" s="13"/>
      <c r="Y20" s="13"/>
      <c r="Z20" s="13"/>
      <c r="AA20" s="17" t="s">
        <v>228</v>
      </c>
      <c r="AB20" s="13"/>
      <c r="AC20" s="13"/>
      <c r="AD20" s="13"/>
      <c r="AE20" s="13" t="s">
        <v>672</v>
      </c>
      <c r="AF20" t="s">
        <v>673</v>
      </c>
    </row>
    <row r="21" spans="1:32" ht="36" customHeight="1" x14ac:dyDescent="0.25">
      <c r="A21" s="14" t="s">
        <v>1922</v>
      </c>
      <c r="B21" s="13" t="s">
        <v>1910</v>
      </c>
      <c r="C21" s="13"/>
      <c r="D21" s="13"/>
      <c r="E21" s="13" t="s">
        <v>1910</v>
      </c>
      <c r="F21" s="13" t="s">
        <v>228</v>
      </c>
      <c r="G21" s="13"/>
      <c r="H21" s="13"/>
      <c r="I21" s="13"/>
      <c r="J21" s="13"/>
      <c r="K21" s="13"/>
      <c r="L21" s="13"/>
      <c r="M21" s="13"/>
      <c r="N21" s="13" t="s">
        <v>1910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228</v>
      </c>
      <c r="AB21" s="13"/>
      <c r="AC21" s="13"/>
      <c r="AD21" s="13"/>
      <c r="AE21" s="13"/>
      <c r="AF21" t="s">
        <v>1909</v>
      </c>
    </row>
    <row r="22" spans="1:32" ht="23.1" customHeight="1" x14ac:dyDescent="0.25">
      <c r="A22" s="15" t="s">
        <v>1923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5"/>
      <c r="AC22" s="15"/>
      <c r="AD22" s="15"/>
      <c r="AE22" s="15"/>
    </row>
    <row r="23" spans="1:32" ht="36" customHeight="1" x14ac:dyDescent="0.25">
      <c r="A23" s="14" t="s">
        <v>1924</v>
      </c>
      <c r="B23" s="13" t="s">
        <v>215</v>
      </c>
      <c r="C23" s="13"/>
      <c r="D23" s="13"/>
      <c r="E23" s="13" t="s">
        <v>215</v>
      </c>
      <c r="F23" s="13" t="s">
        <v>215</v>
      </c>
      <c r="G23" s="13"/>
      <c r="H23" s="13"/>
      <c r="I23" s="13"/>
      <c r="J23" s="13"/>
      <c r="K23" s="13"/>
      <c r="L23" s="13"/>
      <c r="M23" s="13"/>
      <c r="N23" s="13" t="s">
        <v>215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215</v>
      </c>
      <c r="AB23" s="13"/>
      <c r="AC23" s="13"/>
      <c r="AD23" s="13"/>
      <c r="AE23" s="13"/>
      <c r="AF23" t="s">
        <v>215</v>
      </c>
    </row>
    <row r="24" spans="1:32" ht="36" customHeight="1" x14ac:dyDescent="0.25">
      <c r="A24" s="14" t="s">
        <v>1925</v>
      </c>
      <c r="B24" s="13" t="s">
        <v>670</v>
      </c>
      <c r="C24" s="13"/>
      <c r="D24" s="13"/>
      <c r="E24" s="13" t="s">
        <v>670</v>
      </c>
      <c r="F24" s="13" t="s">
        <v>1926</v>
      </c>
      <c r="G24" s="13"/>
      <c r="H24" s="13"/>
      <c r="I24" s="13"/>
      <c r="J24" s="13" t="s">
        <v>880</v>
      </c>
      <c r="K24" s="13"/>
      <c r="L24" s="13"/>
      <c r="M24" s="13"/>
      <c r="N24" s="13" t="s">
        <v>670</v>
      </c>
      <c r="O24" s="13"/>
      <c r="P24" s="13"/>
      <c r="Q24" s="13"/>
      <c r="R24" s="13"/>
      <c r="S24" s="13" t="s">
        <v>672</v>
      </c>
      <c r="T24" s="13"/>
      <c r="U24" s="13"/>
      <c r="V24" s="13"/>
      <c r="W24" s="13"/>
      <c r="X24" s="13"/>
      <c r="Y24" s="13"/>
      <c r="Z24" s="13"/>
      <c r="AA24" s="17" t="s">
        <v>670</v>
      </c>
      <c r="AB24" s="13"/>
      <c r="AC24" s="13"/>
      <c r="AD24" s="13"/>
      <c r="AE24" s="13" t="s">
        <v>672</v>
      </c>
      <c r="AF24" t="s">
        <v>673</v>
      </c>
    </row>
    <row r="25" spans="1:32" ht="36" customHeight="1" x14ac:dyDescent="0.25">
      <c r="A25" s="14" t="s">
        <v>1927</v>
      </c>
      <c r="B25" s="13" t="s">
        <v>215</v>
      </c>
      <c r="C25" s="13"/>
      <c r="D25" s="13"/>
      <c r="E25" s="13" t="s">
        <v>215</v>
      </c>
      <c r="F25" s="13" t="s">
        <v>215</v>
      </c>
      <c r="G25" s="13"/>
      <c r="H25" s="13"/>
      <c r="I25" s="13"/>
      <c r="J25" s="13"/>
      <c r="K25" s="13"/>
      <c r="L25" s="13"/>
      <c r="M25" s="13"/>
      <c r="N25" s="13" t="s">
        <v>215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 t="s">
        <v>215</v>
      </c>
      <c r="AA25" s="17" t="s">
        <v>215</v>
      </c>
      <c r="AB25" s="13"/>
      <c r="AC25" s="13"/>
      <c r="AD25" s="13"/>
      <c r="AE25" s="13"/>
      <c r="AF25" t="s">
        <v>1928</v>
      </c>
    </row>
    <row r="26" spans="1:32" ht="36" customHeight="1" x14ac:dyDescent="0.25">
      <c r="A26" s="14" t="s">
        <v>1929</v>
      </c>
      <c r="B26" s="13" t="s">
        <v>665</v>
      </c>
      <c r="C26" s="13"/>
      <c r="D26" s="13"/>
      <c r="E26" s="13" t="s">
        <v>666</v>
      </c>
      <c r="F26" s="13" t="s">
        <v>667</v>
      </c>
      <c r="G26" s="13"/>
      <c r="H26" s="13"/>
      <c r="I26" s="13"/>
      <c r="J26" s="13" t="s">
        <v>880</v>
      </c>
      <c r="K26" s="13"/>
      <c r="L26" s="13"/>
      <c r="M26" s="13"/>
      <c r="N26" s="13" t="s">
        <v>1930</v>
      </c>
      <c r="O26" s="13"/>
      <c r="P26" s="13"/>
      <c r="Q26" s="13"/>
      <c r="R26" s="13"/>
      <c r="S26" s="13" t="s">
        <v>672</v>
      </c>
      <c r="T26" s="13"/>
      <c r="U26" s="13"/>
      <c r="V26" s="13"/>
      <c r="W26" s="13"/>
      <c r="X26" s="13"/>
      <c r="Y26" s="13"/>
      <c r="Z26" s="13"/>
      <c r="AA26" s="17" t="s">
        <v>1931</v>
      </c>
      <c r="AB26" s="13"/>
      <c r="AC26" s="13"/>
      <c r="AD26" s="13"/>
      <c r="AE26" s="13" t="s">
        <v>672</v>
      </c>
      <c r="AF26" t="s">
        <v>1932</v>
      </c>
    </row>
    <row r="27" spans="1:32" ht="36" customHeight="1" x14ac:dyDescent="0.25">
      <c r="A27" s="14" t="s">
        <v>1933</v>
      </c>
      <c r="B27" s="13" t="s">
        <v>225</v>
      </c>
      <c r="C27" s="13"/>
      <c r="D27" s="13"/>
      <c r="E27" s="13" t="s">
        <v>225</v>
      </c>
      <c r="F27" s="13" t="s">
        <v>225</v>
      </c>
      <c r="G27" s="13"/>
      <c r="H27" s="13"/>
      <c r="I27" s="13"/>
      <c r="J27" s="13"/>
      <c r="K27" s="13"/>
      <c r="L27" s="13"/>
      <c r="M27" s="13"/>
      <c r="N27" s="13" t="s">
        <v>225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 t="s">
        <v>215</v>
      </c>
      <c r="AA27" s="17" t="s">
        <v>228</v>
      </c>
      <c r="AB27" s="13"/>
      <c r="AC27" s="13"/>
      <c r="AD27" s="13"/>
      <c r="AE27" s="13"/>
      <c r="AF27" t="s">
        <v>1934</v>
      </c>
    </row>
    <row r="28" spans="1:32" ht="36" customHeight="1" x14ac:dyDescent="0.25">
      <c r="A28" s="14" t="s">
        <v>1935</v>
      </c>
      <c r="B28" s="13" t="s">
        <v>1920</v>
      </c>
      <c r="C28" s="13"/>
      <c r="D28" s="13"/>
      <c r="E28" s="13" t="s">
        <v>1920</v>
      </c>
      <c r="F28" s="13" t="s">
        <v>1920</v>
      </c>
      <c r="G28" s="13"/>
      <c r="H28" s="13"/>
      <c r="I28" s="13"/>
      <c r="J28" s="13"/>
      <c r="K28" s="13"/>
      <c r="L28" s="13"/>
      <c r="M28" s="13"/>
      <c r="N28" s="13" t="s">
        <v>1920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 t="s">
        <v>228</v>
      </c>
      <c r="AB28" s="13"/>
      <c r="AC28" s="13"/>
      <c r="AD28" s="13"/>
      <c r="AE28" s="13"/>
      <c r="AF28" t="s">
        <v>1934</v>
      </c>
    </row>
    <row r="29" spans="1:32" ht="23.1" customHeight="1" x14ac:dyDescent="0.25">
      <c r="A29" s="15" t="s">
        <v>1936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</row>
    <row r="30" spans="1:32" ht="36" customHeight="1" x14ac:dyDescent="0.25">
      <c r="A30" s="14" t="s">
        <v>1937</v>
      </c>
      <c r="B30" s="13" t="s">
        <v>1813</v>
      </c>
      <c r="C30" s="13"/>
      <c r="D30" s="13"/>
      <c r="E30" s="13" t="s">
        <v>1813</v>
      </c>
      <c r="F30" s="13" t="s">
        <v>1938</v>
      </c>
      <c r="G30" s="13" t="s">
        <v>251</v>
      </c>
      <c r="H30" s="13" t="s">
        <v>654</v>
      </c>
      <c r="I30" s="13" t="s">
        <v>228</v>
      </c>
      <c r="J30" s="13"/>
      <c r="K30" s="13" t="s">
        <v>300</v>
      </c>
      <c r="L30" s="13" t="s">
        <v>1939</v>
      </c>
      <c r="M30" s="13" t="s">
        <v>300</v>
      </c>
      <c r="N30" s="13" t="s">
        <v>662</v>
      </c>
      <c r="O30" s="13"/>
      <c r="P30" s="13"/>
      <c r="Q30" s="13"/>
      <c r="R30" s="13"/>
      <c r="S30" s="13"/>
      <c r="T30" s="13"/>
      <c r="U30" s="13" t="s">
        <v>659</v>
      </c>
      <c r="V30" s="13" t="s">
        <v>228</v>
      </c>
      <c r="W30" s="13" t="s">
        <v>228</v>
      </c>
      <c r="X30" s="13"/>
      <c r="Y30" s="13"/>
      <c r="Z30" s="13" t="s">
        <v>1940</v>
      </c>
      <c r="AA30" s="17" t="s">
        <v>1813</v>
      </c>
      <c r="AB30" s="13" t="s">
        <v>662</v>
      </c>
      <c r="AC30" s="13"/>
      <c r="AD30" s="13"/>
      <c r="AE30" s="13"/>
      <c r="AF30" t="s">
        <v>248</v>
      </c>
    </row>
    <row r="31" spans="1:32" ht="36" customHeight="1" x14ac:dyDescent="0.25">
      <c r="A31" s="14" t="s">
        <v>1941</v>
      </c>
      <c r="B31" s="13" t="s">
        <v>1909</v>
      </c>
      <c r="C31" s="13"/>
      <c r="D31" s="13"/>
      <c r="E31" s="13" t="s">
        <v>1909</v>
      </c>
      <c r="F31" s="13" t="s">
        <v>1942</v>
      </c>
      <c r="G31" s="13" t="s">
        <v>251</v>
      </c>
      <c r="H31" s="13"/>
      <c r="I31" s="13" t="s">
        <v>228</v>
      </c>
      <c r="J31" s="13"/>
      <c r="K31" s="13" t="s">
        <v>300</v>
      </c>
      <c r="L31" s="13" t="s">
        <v>1939</v>
      </c>
      <c r="M31" s="13" t="s">
        <v>300</v>
      </c>
      <c r="N31" s="13" t="s">
        <v>1909</v>
      </c>
      <c r="O31" s="13"/>
      <c r="P31" s="13"/>
      <c r="Q31" s="13"/>
      <c r="R31" s="13"/>
      <c r="S31" s="13"/>
      <c r="T31" s="13"/>
      <c r="U31" s="13"/>
      <c r="V31" s="13" t="s">
        <v>228</v>
      </c>
      <c r="W31" s="13" t="s">
        <v>228</v>
      </c>
      <c r="X31" s="13"/>
      <c r="Y31" s="13"/>
      <c r="Z31" s="13" t="s">
        <v>1943</v>
      </c>
      <c r="AA31" s="17" t="s">
        <v>1910</v>
      </c>
      <c r="AB31" s="13"/>
      <c r="AC31" s="13"/>
      <c r="AD31" s="13"/>
      <c r="AE31" s="13"/>
      <c r="AF31" t="s">
        <v>1829</v>
      </c>
    </row>
    <row r="32" spans="1:32" ht="36" customHeight="1" x14ac:dyDescent="0.25">
      <c r="A32" s="14" t="s">
        <v>1944</v>
      </c>
      <c r="B32" s="13" t="s">
        <v>1945</v>
      </c>
      <c r="C32" s="13"/>
      <c r="D32" s="13"/>
      <c r="E32" s="13" t="s">
        <v>1945</v>
      </c>
      <c r="F32" s="13" t="s">
        <v>1946</v>
      </c>
      <c r="G32" s="13"/>
      <c r="H32" s="13"/>
      <c r="I32" s="13"/>
      <c r="J32" s="13"/>
      <c r="K32" s="13"/>
      <c r="L32" s="13"/>
      <c r="M32" s="13"/>
      <c r="N32" s="13" t="s">
        <v>1945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 t="s">
        <v>1946</v>
      </c>
      <c r="AB32" s="13" t="s">
        <v>1947</v>
      </c>
      <c r="AC32" s="13"/>
      <c r="AD32" s="13"/>
      <c r="AE32" s="13"/>
      <c r="AF32" t="s">
        <v>248</v>
      </c>
    </row>
    <row r="33" spans="1:32" ht="36" customHeight="1" x14ac:dyDescent="0.25">
      <c r="A33" s="14" t="s">
        <v>1948</v>
      </c>
      <c r="B33" s="13" t="s">
        <v>1910</v>
      </c>
      <c r="C33" s="13"/>
      <c r="D33" s="13"/>
      <c r="E33" s="13" t="s">
        <v>1910</v>
      </c>
      <c r="F33" s="13" t="s">
        <v>1910</v>
      </c>
      <c r="G33" s="13"/>
      <c r="H33" s="13"/>
      <c r="I33" s="13"/>
      <c r="J33" s="13"/>
      <c r="K33" s="13"/>
      <c r="L33" s="13"/>
      <c r="M33" s="13"/>
      <c r="N33" s="13" t="s">
        <v>1910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 t="s">
        <v>1910</v>
      </c>
      <c r="AB33" s="13"/>
      <c r="AC33" s="13"/>
      <c r="AD33" s="13"/>
      <c r="AE33" s="13"/>
      <c r="AF33" t="s">
        <v>1829</v>
      </c>
    </row>
    <row r="34" spans="1:32" ht="36" customHeight="1" x14ac:dyDescent="0.25">
      <c r="A34" s="14" t="s">
        <v>1949</v>
      </c>
      <c r="B34" s="13" t="s">
        <v>1950</v>
      </c>
      <c r="C34" s="13"/>
      <c r="D34" s="13"/>
      <c r="E34" s="13" t="s">
        <v>616</v>
      </c>
      <c r="F34" s="13" t="s">
        <v>617</v>
      </c>
      <c r="G34" s="13"/>
      <c r="H34" s="13"/>
      <c r="I34" s="13"/>
      <c r="J34" s="13"/>
      <c r="K34" s="13"/>
      <c r="L34" s="13"/>
      <c r="M34" s="13"/>
      <c r="N34" s="13" t="s">
        <v>1951</v>
      </c>
      <c r="O34" s="13"/>
      <c r="P34" s="13"/>
      <c r="Q34" s="13"/>
      <c r="R34" s="13"/>
      <c r="S34" s="13" t="s">
        <v>276</v>
      </c>
      <c r="T34" s="13"/>
      <c r="U34" s="13"/>
      <c r="V34" s="13"/>
      <c r="W34" s="13"/>
      <c r="X34" s="13"/>
      <c r="Y34" s="13"/>
      <c r="Z34" s="13"/>
      <c r="AA34" s="17" t="s">
        <v>1952</v>
      </c>
      <c r="AB34" s="13" t="s">
        <v>287</v>
      </c>
      <c r="AC34" s="13"/>
      <c r="AD34" s="13"/>
      <c r="AE34" s="13" t="s">
        <v>1953</v>
      </c>
      <c r="AF34" t="s">
        <v>1954</v>
      </c>
    </row>
    <row r="35" spans="1:32" ht="23.1" customHeight="1" x14ac:dyDescent="0.25">
      <c r="A35" s="15" t="s">
        <v>1955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6"/>
      <c r="AB35" s="15"/>
      <c r="AC35" s="15"/>
      <c r="AD35" s="15"/>
      <c r="AE35" s="15"/>
    </row>
    <row r="36" spans="1:32" ht="36" customHeight="1" x14ac:dyDescent="0.25">
      <c r="A36" s="14" t="s">
        <v>1868</v>
      </c>
      <c r="B36" s="13" t="s">
        <v>215</v>
      </c>
      <c r="C36" s="13"/>
      <c r="D36" s="13"/>
      <c r="E36" s="13" t="s">
        <v>215</v>
      </c>
      <c r="F36" s="13" t="s">
        <v>215</v>
      </c>
      <c r="G36" s="13" t="s">
        <v>251</v>
      </c>
      <c r="H36" s="13"/>
      <c r="I36" s="13" t="s">
        <v>228</v>
      </c>
      <c r="J36" s="13" t="s">
        <v>215</v>
      </c>
      <c r="K36" s="13" t="s">
        <v>300</v>
      </c>
      <c r="L36" s="13" t="s">
        <v>215</v>
      </c>
      <c r="M36" s="13" t="s">
        <v>300</v>
      </c>
      <c r="N36" s="13" t="s">
        <v>215</v>
      </c>
      <c r="O36" s="13"/>
      <c r="P36" s="13" t="s">
        <v>215</v>
      </c>
      <c r="Q36" s="13" t="s">
        <v>215</v>
      </c>
      <c r="R36" s="13"/>
      <c r="S36" s="13" t="s">
        <v>215</v>
      </c>
      <c r="T36" s="13"/>
      <c r="U36" s="13" t="s">
        <v>215</v>
      </c>
      <c r="V36" s="13"/>
      <c r="W36" s="13" t="s">
        <v>228</v>
      </c>
      <c r="X36" s="13"/>
      <c r="Y36" s="13"/>
      <c r="Z36" s="13" t="s">
        <v>215</v>
      </c>
      <c r="AA36" s="17" t="s">
        <v>215</v>
      </c>
      <c r="AB36" s="13" t="s">
        <v>215</v>
      </c>
      <c r="AC36" s="13" t="s">
        <v>215</v>
      </c>
      <c r="AD36" s="13"/>
      <c r="AE36" s="13" t="s">
        <v>215</v>
      </c>
      <c r="AF36" t="s">
        <v>1850</v>
      </c>
    </row>
    <row r="37" spans="1:32" ht="36" customHeight="1" x14ac:dyDescent="0.25">
      <c r="A37" s="14" t="s">
        <v>1869</v>
      </c>
      <c r="B37" s="13" t="s">
        <v>1870</v>
      </c>
      <c r="C37" s="13"/>
      <c r="D37" s="13"/>
      <c r="E37" s="13" t="s">
        <v>1853</v>
      </c>
      <c r="F37" s="13" t="s">
        <v>215</v>
      </c>
      <c r="G37" s="13" t="s">
        <v>251</v>
      </c>
      <c r="H37" s="13"/>
      <c r="I37" s="13" t="s">
        <v>228</v>
      </c>
      <c r="J37" s="13"/>
      <c r="K37" s="13" t="s">
        <v>300</v>
      </c>
      <c r="L37" s="13" t="s">
        <v>215</v>
      </c>
      <c r="M37" s="13" t="s">
        <v>300</v>
      </c>
      <c r="N37" s="13"/>
      <c r="O37" s="13"/>
      <c r="P37" s="13"/>
      <c r="Q37" s="13"/>
      <c r="R37" s="13"/>
      <c r="S37" s="13"/>
      <c r="T37" s="13"/>
      <c r="U37" s="13"/>
      <c r="V37" s="13"/>
      <c r="W37" s="13" t="s">
        <v>228</v>
      </c>
      <c r="X37" s="13"/>
      <c r="Y37" s="13"/>
      <c r="Z37" s="13"/>
      <c r="AA37" s="17" t="s">
        <v>215</v>
      </c>
      <c r="AB37" s="13" t="s">
        <v>215</v>
      </c>
      <c r="AC37" s="13"/>
      <c r="AD37" s="13"/>
      <c r="AE37" s="13"/>
      <c r="AF37" t="s">
        <v>1850</v>
      </c>
    </row>
    <row r="38" spans="1:32" ht="36" customHeight="1" x14ac:dyDescent="0.25">
      <c r="A38" s="14" t="s">
        <v>1871</v>
      </c>
      <c r="B38" s="13" t="s">
        <v>1872</v>
      </c>
      <c r="C38" s="13"/>
      <c r="D38" s="13"/>
      <c r="E38" s="13"/>
      <c r="F38" s="13"/>
      <c r="G38" s="13" t="s">
        <v>251</v>
      </c>
      <c r="H38" s="13"/>
      <c r="I38" s="13" t="s">
        <v>228</v>
      </c>
      <c r="J38" s="13"/>
      <c r="K38" s="13" t="s">
        <v>300</v>
      </c>
      <c r="L38" s="13" t="s">
        <v>1873</v>
      </c>
      <c r="M38" s="13" t="s">
        <v>300</v>
      </c>
      <c r="N38" s="13"/>
      <c r="O38" s="13"/>
      <c r="P38" s="13"/>
      <c r="Q38" s="13"/>
      <c r="R38" s="13" t="s">
        <v>1874</v>
      </c>
      <c r="S38" s="13"/>
      <c r="T38" s="13"/>
      <c r="U38" s="13"/>
      <c r="V38" s="13"/>
      <c r="W38" s="13" t="s">
        <v>228</v>
      </c>
      <c r="X38" s="13"/>
      <c r="Y38" s="13"/>
      <c r="Z38" s="13"/>
      <c r="AA38" s="17" t="s">
        <v>215</v>
      </c>
      <c r="AB38" s="13" t="s">
        <v>1875</v>
      </c>
      <c r="AC38" s="13"/>
      <c r="AD38" s="13"/>
      <c r="AE38" s="13"/>
      <c r="AF38" t="s">
        <v>1876</v>
      </c>
    </row>
    <row r="39" spans="1:32" ht="36" customHeight="1" x14ac:dyDescent="0.25">
      <c r="A39" s="14" t="s">
        <v>1877</v>
      </c>
      <c r="B39" s="13" t="s">
        <v>1878</v>
      </c>
      <c r="C39" s="13"/>
      <c r="D39" s="13"/>
      <c r="E39" s="13"/>
      <c r="F39" s="13" t="s">
        <v>1879</v>
      </c>
      <c r="G39" s="13" t="s">
        <v>251</v>
      </c>
      <c r="H39" s="13"/>
      <c r="I39" s="13" t="s">
        <v>228</v>
      </c>
      <c r="J39" s="13"/>
      <c r="K39" s="13" t="s">
        <v>300</v>
      </c>
      <c r="L39" s="13" t="s">
        <v>1880</v>
      </c>
      <c r="M39" s="13" t="s">
        <v>300</v>
      </c>
      <c r="N39" s="13"/>
      <c r="O39" s="13"/>
      <c r="P39" s="13"/>
      <c r="Q39" s="13"/>
      <c r="R39" s="13"/>
      <c r="S39" s="13"/>
      <c r="T39" s="13"/>
      <c r="U39" s="13"/>
      <c r="V39" s="13"/>
      <c r="W39" s="13" t="s">
        <v>228</v>
      </c>
      <c r="X39" s="13"/>
      <c r="Y39" s="13"/>
      <c r="Z39" s="13"/>
      <c r="AA39" s="17" t="s">
        <v>5831</v>
      </c>
      <c r="AB39" s="13"/>
      <c r="AC39" s="13"/>
      <c r="AD39" s="13"/>
      <c r="AE39" s="13"/>
      <c r="AF39" t="s">
        <v>1881</v>
      </c>
    </row>
    <row r="40" spans="1:32" ht="36" customHeight="1" x14ac:dyDescent="0.25">
      <c r="A40" s="14" t="s">
        <v>1882</v>
      </c>
      <c r="B40" s="13"/>
      <c r="C40" s="13"/>
      <c r="D40" s="13"/>
      <c r="E40" s="13"/>
      <c r="F40" s="13"/>
      <c r="G40" s="13" t="s">
        <v>1883</v>
      </c>
      <c r="H40" s="13" t="s">
        <v>1884</v>
      </c>
      <c r="I40" s="13" t="s">
        <v>228</v>
      </c>
      <c r="J40" s="13"/>
      <c r="K40" s="13" t="s">
        <v>300</v>
      </c>
      <c r="L40" s="13" t="s">
        <v>1885</v>
      </c>
      <c r="M40" s="13" t="s">
        <v>300</v>
      </c>
      <c r="N40" s="13"/>
      <c r="O40" s="13"/>
      <c r="P40" s="13"/>
      <c r="Q40" s="13"/>
      <c r="R40" s="13"/>
      <c r="S40" s="13"/>
      <c r="T40" s="13"/>
      <c r="U40" s="13"/>
      <c r="V40" s="13"/>
      <c r="W40" s="13" t="s">
        <v>228</v>
      </c>
      <c r="X40" s="13"/>
      <c r="Y40" s="13" t="s">
        <v>1886</v>
      </c>
      <c r="Z40" s="13"/>
      <c r="AA40" s="17" t="s">
        <v>215</v>
      </c>
      <c r="AB40" s="13" t="s">
        <v>215</v>
      </c>
      <c r="AC40" s="13"/>
      <c r="AD40" s="13"/>
      <c r="AE40" s="13"/>
      <c r="AF40" t="s">
        <v>1346</v>
      </c>
    </row>
    <row r="41" spans="1:32" ht="36" customHeight="1" x14ac:dyDescent="0.25">
      <c r="A41" s="14" t="s">
        <v>1956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7"/>
      <c r="AB41" s="13" t="s">
        <v>606</v>
      </c>
      <c r="AC41" s="13"/>
      <c r="AD41" s="13"/>
      <c r="AE41" s="13"/>
      <c r="AF41" t="s">
        <v>1346</v>
      </c>
    </row>
    <row r="42" spans="1:32" ht="36" customHeight="1" x14ac:dyDescent="0.25">
      <c r="A42" s="14" t="s">
        <v>1887</v>
      </c>
      <c r="B42" s="13" t="s">
        <v>215</v>
      </c>
      <c r="C42" s="13"/>
      <c r="D42" s="13"/>
      <c r="E42" s="13" t="s">
        <v>215</v>
      </c>
      <c r="F42" s="13" t="s">
        <v>215</v>
      </c>
      <c r="G42" s="13" t="s">
        <v>251</v>
      </c>
      <c r="H42" s="13"/>
      <c r="I42" s="13" t="s">
        <v>228</v>
      </c>
      <c r="J42" s="13"/>
      <c r="K42" s="13" t="s">
        <v>300</v>
      </c>
      <c r="L42" s="13" t="s">
        <v>215</v>
      </c>
      <c r="M42" s="13" t="s">
        <v>300</v>
      </c>
      <c r="N42" s="13" t="s">
        <v>215</v>
      </c>
      <c r="O42" s="13"/>
      <c r="P42" s="13" t="s">
        <v>215</v>
      </c>
      <c r="Q42" s="13" t="s">
        <v>215</v>
      </c>
      <c r="R42" s="13"/>
      <c r="S42" s="13" t="s">
        <v>215</v>
      </c>
      <c r="T42" s="13"/>
      <c r="U42" s="13"/>
      <c r="V42" s="13"/>
      <c r="W42" s="13" t="s">
        <v>228</v>
      </c>
      <c r="X42" s="13"/>
      <c r="Y42" s="13"/>
      <c r="Z42" s="13"/>
      <c r="AA42" s="17" t="s">
        <v>215</v>
      </c>
      <c r="AB42" s="13" t="s">
        <v>1888</v>
      </c>
      <c r="AC42" s="13" t="s">
        <v>215</v>
      </c>
      <c r="AD42" s="13"/>
      <c r="AE42" s="13" t="s">
        <v>215</v>
      </c>
      <c r="AF42" t="s">
        <v>1346</v>
      </c>
    </row>
    <row r="43" spans="1:32" ht="23.1" customHeight="1" x14ac:dyDescent="0.25">
      <c r="A43" s="15" t="s">
        <v>1611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6"/>
      <c r="AB43" s="15"/>
      <c r="AC43" s="15"/>
      <c r="AD43" s="15"/>
      <c r="AE43" s="15"/>
      <c r="AF43" t="s">
        <v>1346</v>
      </c>
    </row>
    <row r="44" spans="1:32" ht="23.1" customHeight="1" x14ac:dyDescent="0.25">
      <c r="A44" s="15" t="s">
        <v>1889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  <c r="AB44" s="15"/>
      <c r="AC44" s="15"/>
      <c r="AD44" s="15"/>
      <c r="AE44" s="15"/>
      <c r="AF44" t="s">
        <v>1866</v>
      </c>
    </row>
    <row r="45" spans="1:32" ht="23.1" customHeight="1" x14ac:dyDescent="0.25">
      <c r="A45" s="15" t="s">
        <v>1623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"/>
      <c r="AB45" s="15"/>
      <c r="AC45" s="15"/>
      <c r="AD45" s="15"/>
      <c r="AE45" s="15"/>
    </row>
    <row r="46" spans="1:32" ht="36" customHeight="1" x14ac:dyDescent="0.25">
      <c r="A46" s="14" t="s">
        <v>1957</v>
      </c>
      <c r="B46" s="13" t="s">
        <v>1958</v>
      </c>
      <c r="C46" s="13"/>
      <c r="D46" s="13"/>
      <c r="E46" s="13" t="s">
        <v>1626</v>
      </c>
      <c r="F46" s="13" t="s">
        <v>1959</v>
      </c>
      <c r="G46" s="13"/>
      <c r="H46" s="13"/>
      <c r="I46" s="13"/>
      <c r="J46" s="13" t="s">
        <v>1960</v>
      </c>
      <c r="K46" s="13"/>
      <c r="L46" s="13"/>
      <c r="M46" s="13"/>
      <c r="N46" s="13" t="s">
        <v>1772</v>
      </c>
      <c r="O46" s="13"/>
      <c r="P46" s="13"/>
      <c r="Q46" s="13"/>
      <c r="R46" s="13"/>
      <c r="S46" s="13" t="s">
        <v>1629</v>
      </c>
      <c r="T46" s="13"/>
      <c r="U46" s="13"/>
      <c r="V46" s="13"/>
      <c r="W46" s="13"/>
      <c r="X46" s="13"/>
      <c r="Y46" s="13"/>
      <c r="Z46" s="13"/>
      <c r="AA46" s="17" t="s">
        <v>1630</v>
      </c>
      <c r="AB46" s="13" t="s">
        <v>1961</v>
      </c>
      <c r="AC46" s="13"/>
      <c r="AD46" s="13"/>
      <c r="AE46" s="13" t="s">
        <v>1962</v>
      </c>
      <c r="AF46" t="s">
        <v>1963</v>
      </c>
    </row>
    <row r="47" spans="1:32" ht="36" customHeight="1" x14ac:dyDescent="0.25">
      <c r="A47" s="14" t="s">
        <v>1964</v>
      </c>
      <c r="B47" s="13" t="s">
        <v>1775</v>
      </c>
      <c r="C47" s="13" t="s">
        <v>1776</v>
      </c>
      <c r="D47" s="13" t="s">
        <v>1777</v>
      </c>
      <c r="E47" s="13" t="s">
        <v>1778</v>
      </c>
      <c r="F47" s="13" t="s">
        <v>1779</v>
      </c>
      <c r="G47" s="13" t="s">
        <v>1780</v>
      </c>
      <c r="H47" s="13" t="s">
        <v>1781</v>
      </c>
      <c r="I47" s="13" t="s">
        <v>1782</v>
      </c>
      <c r="J47" s="13" t="s">
        <v>1965</v>
      </c>
      <c r="K47" s="13" t="s">
        <v>1784</v>
      </c>
      <c r="L47" s="13" t="s">
        <v>1785</v>
      </c>
      <c r="M47" s="13" t="s">
        <v>1786</v>
      </c>
      <c r="N47" s="13" t="s">
        <v>1787</v>
      </c>
      <c r="O47" s="13" t="s">
        <v>1788</v>
      </c>
      <c r="P47" s="13" t="s">
        <v>1789</v>
      </c>
      <c r="Q47" s="13" t="s">
        <v>1790</v>
      </c>
      <c r="R47" s="13" t="s">
        <v>1791</v>
      </c>
      <c r="S47" s="13" t="s">
        <v>1792</v>
      </c>
      <c r="T47" s="13" t="s">
        <v>1793</v>
      </c>
      <c r="U47" s="13" t="s">
        <v>1794</v>
      </c>
      <c r="V47" s="13" t="s">
        <v>1795</v>
      </c>
      <c r="W47" s="13" t="s">
        <v>1796</v>
      </c>
      <c r="X47" s="13" t="s">
        <v>1797</v>
      </c>
      <c r="Y47" s="13" t="s">
        <v>1798</v>
      </c>
      <c r="Z47" s="13" t="s">
        <v>1799</v>
      </c>
      <c r="AA47" s="17" t="s">
        <v>1966</v>
      </c>
      <c r="AB47" s="13" t="s">
        <v>1801</v>
      </c>
      <c r="AC47" s="13" t="s">
        <v>1802</v>
      </c>
      <c r="AD47" s="13"/>
      <c r="AE47" s="13" t="s">
        <v>1803</v>
      </c>
      <c r="AF47" t="s">
        <v>1967</v>
      </c>
    </row>
    <row r="48" spans="1:32" ht="23.1" customHeight="1" x14ac:dyDescent="0.25">
      <c r="A48" s="15" t="s">
        <v>1968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  <c r="AB48" s="15"/>
      <c r="AC48" s="15"/>
      <c r="AD48" s="15"/>
      <c r="AE48" s="15"/>
    </row>
    <row r="49" spans="1:32" ht="23.1" customHeight="1" x14ac:dyDescent="0.25">
      <c r="A49" s="15" t="s">
        <v>1969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15"/>
      <c r="AC49" s="15"/>
      <c r="AD49" s="15"/>
      <c r="AE49" s="15"/>
      <c r="AF49" t="s">
        <v>1970</v>
      </c>
    </row>
    <row r="50" spans="1:32" ht="23.1" customHeight="1" x14ac:dyDescent="0.25">
      <c r="A50" s="15" t="s">
        <v>1971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  <c r="AB50" s="15"/>
      <c r="AC50" s="15"/>
      <c r="AD50" s="15"/>
      <c r="AE50" s="15"/>
      <c r="AF50" t="s">
        <v>1972</v>
      </c>
    </row>
    <row r="51" spans="1:32" ht="36" customHeight="1" x14ac:dyDescent="0.25">
      <c r="A51" s="14" t="s">
        <v>1973</v>
      </c>
      <c r="B51" s="13" t="s">
        <v>1974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7"/>
      <c r="AB51" s="13"/>
      <c r="AC51" s="13"/>
      <c r="AD51" s="13"/>
      <c r="AE51" s="13"/>
      <c r="AF51" t="s">
        <v>1975</v>
      </c>
    </row>
    <row r="52" spans="1:32" ht="36" customHeight="1" x14ac:dyDescent="0.25">
      <c r="A52" s="14" t="s">
        <v>1976</v>
      </c>
      <c r="B52" s="13" t="s">
        <v>1977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7" t="s">
        <v>1978</v>
      </c>
      <c r="AB52" s="13"/>
      <c r="AC52" s="13"/>
      <c r="AD52" s="13"/>
      <c r="AE52" s="13"/>
      <c r="AF52" t="s">
        <v>1979</v>
      </c>
    </row>
  </sheetData>
  <mergeCells count="1">
    <mergeCell ref="A1:A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33"/>
  <sheetViews>
    <sheetView workbookViewId="0">
      <pane xSplit="2" ySplit="2" topLeftCell="X17" activePane="bottomRight" state="frozen"/>
      <selection pane="topRight" activeCell="C1" sqref="C1"/>
      <selection pane="bottomLeft" activeCell="A3" sqref="A3"/>
      <selection pane="bottomRight" activeCell="AA34" sqref="AA34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Directory'!A1","Media &amp; Limits"),"Media &amp; Limits")</f>
        <v>Media &amp; Limits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258</v>
      </c>
      <c r="B3" s="13" t="s">
        <v>215</v>
      </c>
      <c r="C3" s="13" t="s">
        <v>215</v>
      </c>
      <c r="D3" s="13" t="s">
        <v>215</v>
      </c>
      <c r="E3" s="13" t="s">
        <v>215</v>
      </c>
      <c r="F3" s="13" t="s">
        <v>215</v>
      </c>
      <c r="G3" s="13" t="s">
        <v>251</v>
      </c>
      <c r="H3" s="13" t="s">
        <v>1980</v>
      </c>
      <c r="I3" s="13" t="s">
        <v>215</v>
      </c>
      <c r="J3" s="13" t="s">
        <v>215</v>
      </c>
      <c r="K3" s="13" t="s">
        <v>1236</v>
      </c>
      <c r="L3" s="13" t="s">
        <v>1981</v>
      </c>
      <c r="M3" s="13" t="s">
        <v>1982</v>
      </c>
      <c r="N3" s="13" t="s">
        <v>215</v>
      </c>
      <c r="O3" s="13"/>
      <c r="P3" s="13" t="s">
        <v>215</v>
      </c>
      <c r="Q3" s="13" t="s">
        <v>215</v>
      </c>
      <c r="R3" s="13"/>
      <c r="S3" s="13" t="s">
        <v>215</v>
      </c>
      <c r="T3" s="13" t="s">
        <v>215</v>
      </c>
      <c r="U3" s="13" t="s">
        <v>215</v>
      </c>
      <c r="V3" s="13" t="s">
        <v>266</v>
      </c>
      <c r="W3" s="13" t="s">
        <v>1983</v>
      </c>
      <c r="X3" s="13" t="s">
        <v>215</v>
      </c>
      <c r="Y3" s="13" t="s">
        <v>1984</v>
      </c>
      <c r="Z3" s="13" t="s">
        <v>215</v>
      </c>
      <c r="AA3" s="17" t="s">
        <v>215</v>
      </c>
      <c r="AB3" s="13" t="s">
        <v>215</v>
      </c>
      <c r="AC3" s="13" t="s">
        <v>215</v>
      </c>
      <c r="AD3" s="13" t="s">
        <v>215</v>
      </c>
      <c r="AE3" s="13" t="s">
        <v>1985</v>
      </c>
      <c r="AF3" t="s">
        <v>215</v>
      </c>
    </row>
    <row r="4" spans="1:32" ht="36" customHeight="1" x14ac:dyDescent="0.25">
      <c r="A4" s="14" t="s">
        <v>1986</v>
      </c>
      <c r="B4" s="13" t="s">
        <v>215</v>
      </c>
      <c r="C4" s="13"/>
      <c r="D4" s="13" t="s">
        <v>215</v>
      </c>
      <c r="E4" s="13" t="s">
        <v>215</v>
      </c>
      <c r="F4" s="13" t="s">
        <v>215</v>
      </c>
      <c r="G4" s="13" t="s">
        <v>251</v>
      </c>
      <c r="H4" s="13" t="s">
        <v>215</v>
      </c>
      <c r="I4" s="13" t="s">
        <v>1987</v>
      </c>
      <c r="J4" s="13"/>
      <c r="K4" s="13" t="s">
        <v>1897</v>
      </c>
      <c r="L4" s="13" t="s">
        <v>215</v>
      </c>
      <c r="M4" s="13" t="s">
        <v>1988</v>
      </c>
      <c r="N4" s="13"/>
      <c r="O4" s="13"/>
      <c r="P4" s="13"/>
      <c r="Q4" s="13" t="s">
        <v>215</v>
      </c>
      <c r="R4" s="13"/>
      <c r="S4" s="13" t="s">
        <v>215</v>
      </c>
      <c r="T4" s="13"/>
      <c r="U4" s="13"/>
      <c r="V4" s="13"/>
      <c r="W4" s="13"/>
      <c r="X4" s="13"/>
      <c r="Y4" s="13" t="s">
        <v>1989</v>
      </c>
      <c r="Z4" s="13"/>
      <c r="AA4" s="17" t="s">
        <v>5832</v>
      </c>
      <c r="AB4" s="13" t="s">
        <v>215</v>
      </c>
      <c r="AC4" s="13" t="s">
        <v>215</v>
      </c>
      <c r="AD4" s="13"/>
      <c r="AE4" s="13" t="s">
        <v>215</v>
      </c>
      <c r="AF4" t="s">
        <v>215</v>
      </c>
    </row>
    <row r="5" spans="1:32" ht="36" customHeight="1" x14ac:dyDescent="0.25">
      <c r="A5" s="14" t="s">
        <v>1990</v>
      </c>
      <c r="B5" s="13" t="s">
        <v>215</v>
      </c>
      <c r="C5" s="13"/>
      <c r="D5" s="13" t="s">
        <v>215</v>
      </c>
      <c r="E5" s="13" t="s">
        <v>215</v>
      </c>
      <c r="F5" s="13" t="s">
        <v>215</v>
      </c>
      <c r="G5" s="13" t="s">
        <v>251</v>
      </c>
      <c r="H5" s="13" t="s">
        <v>215</v>
      </c>
      <c r="I5" s="13" t="s">
        <v>1991</v>
      </c>
      <c r="J5" s="13"/>
      <c r="K5" s="13" t="s">
        <v>1897</v>
      </c>
      <c r="L5" s="13" t="s">
        <v>215</v>
      </c>
      <c r="M5" s="13" t="s">
        <v>1988</v>
      </c>
      <c r="N5" s="13"/>
      <c r="O5" s="13"/>
      <c r="P5" s="13"/>
      <c r="Q5" s="13" t="s">
        <v>215</v>
      </c>
      <c r="R5" s="13"/>
      <c r="S5" s="13" t="s">
        <v>215</v>
      </c>
      <c r="T5" s="13"/>
      <c r="U5" s="13"/>
      <c r="V5" s="13"/>
      <c r="W5" s="13"/>
      <c r="X5" s="13"/>
      <c r="Y5" s="13"/>
      <c r="Z5" s="13"/>
      <c r="AA5" s="17" t="s">
        <v>225</v>
      </c>
      <c r="AB5" s="13" t="s">
        <v>215</v>
      </c>
      <c r="AC5" s="13" t="s">
        <v>215</v>
      </c>
      <c r="AD5" s="13"/>
      <c r="AE5" s="13" t="s">
        <v>215</v>
      </c>
      <c r="AF5" t="s">
        <v>215</v>
      </c>
    </row>
    <row r="6" spans="1:32" ht="36" customHeight="1" x14ac:dyDescent="0.25">
      <c r="A6" s="14" t="s">
        <v>1992</v>
      </c>
      <c r="B6" s="13" t="s">
        <v>1993</v>
      </c>
      <c r="C6" s="13" t="s">
        <v>1701</v>
      </c>
      <c r="D6" s="13" t="s">
        <v>1701</v>
      </c>
      <c r="E6" s="13" t="s">
        <v>1994</v>
      </c>
      <c r="F6" s="13"/>
      <c r="G6" s="13" t="s">
        <v>1995</v>
      </c>
      <c r="H6" s="13" t="s">
        <v>1996</v>
      </c>
      <c r="I6" s="13" t="s">
        <v>1997</v>
      </c>
      <c r="J6" s="13" t="s">
        <v>1998</v>
      </c>
      <c r="K6" s="13" t="s">
        <v>1999</v>
      </c>
      <c r="L6" s="13" t="s">
        <v>2000</v>
      </c>
      <c r="M6" s="13" t="s">
        <v>2001</v>
      </c>
      <c r="N6" s="13" t="s">
        <v>2002</v>
      </c>
      <c r="O6" s="13"/>
      <c r="P6" s="13" t="s">
        <v>2003</v>
      </c>
      <c r="Q6" s="13" t="s">
        <v>1701</v>
      </c>
      <c r="R6" s="13"/>
      <c r="S6" s="13" t="s">
        <v>1696</v>
      </c>
      <c r="T6" s="13"/>
      <c r="U6" s="13" t="s">
        <v>2004</v>
      </c>
      <c r="V6" s="13" t="s">
        <v>1698</v>
      </c>
      <c r="W6" s="13" t="s">
        <v>228</v>
      </c>
      <c r="X6" s="13"/>
      <c r="Y6" s="13" t="s">
        <v>2005</v>
      </c>
      <c r="Z6" s="13" t="s">
        <v>1701</v>
      </c>
      <c r="AA6" s="17"/>
      <c r="AB6" s="13" t="s">
        <v>2006</v>
      </c>
      <c r="AC6" s="13" t="s">
        <v>1701</v>
      </c>
      <c r="AD6" s="13" t="s">
        <v>1701</v>
      </c>
      <c r="AE6" s="13" t="s">
        <v>1701</v>
      </c>
      <c r="AF6" t="s">
        <v>1701</v>
      </c>
    </row>
    <row r="7" spans="1:32" ht="36" customHeight="1" x14ac:dyDescent="0.25">
      <c r="A7" s="14" t="s">
        <v>1672</v>
      </c>
      <c r="B7" s="13" t="s">
        <v>1673</v>
      </c>
      <c r="C7" s="13" t="s">
        <v>2007</v>
      </c>
      <c r="D7" s="13" t="s">
        <v>1679</v>
      </c>
      <c r="E7" s="13" t="s">
        <v>1679</v>
      </c>
      <c r="F7" s="13"/>
      <c r="G7" s="13" t="s">
        <v>2008</v>
      </c>
      <c r="H7" s="13" t="s">
        <v>1884</v>
      </c>
      <c r="I7" s="13" t="s">
        <v>1673</v>
      </c>
      <c r="J7" s="13" t="s">
        <v>2009</v>
      </c>
      <c r="K7" s="13" t="s">
        <v>300</v>
      </c>
      <c r="L7" s="13" t="s">
        <v>2007</v>
      </c>
      <c r="M7" s="13" t="s">
        <v>2010</v>
      </c>
      <c r="N7" s="13"/>
      <c r="O7" s="13"/>
      <c r="P7" s="13"/>
      <c r="Q7" s="13" t="s">
        <v>2007</v>
      </c>
      <c r="R7" s="13"/>
      <c r="S7" s="13"/>
      <c r="T7" s="13"/>
      <c r="U7" s="13"/>
      <c r="V7" s="13"/>
      <c r="W7" s="13" t="s">
        <v>228</v>
      </c>
      <c r="X7" s="13"/>
      <c r="Y7" s="13"/>
      <c r="Z7" s="13" t="s">
        <v>1673</v>
      </c>
      <c r="AA7" s="17"/>
      <c r="AB7" s="13"/>
      <c r="AC7" s="13" t="s">
        <v>2007</v>
      </c>
      <c r="AD7" s="13" t="s">
        <v>2007</v>
      </c>
      <c r="AE7" s="13" t="s">
        <v>2007</v>
      </c>
      <c r="AF7" t="s">
        <v>1673</v>
      </c>
    </row>
    <row r="8" spans="1:32" ht="36" customHeight="1" x14ac:dyDescent="0.25">
      <c r="A8" s="14" t="s">
        <v>2011</v>
      </c>
      <c r="B8" s="13" t="s">
        <v>2012</v>
      </c>
      <c r="C8" s="13"/>
      <c r="D8" s="13"/>
      <c r="E8" s="13"/>
      <c r="F8" s="13"/>
      <c r="G8" s="13" t="s">
        <v>1883</v>
      </c>
      <c r="H8" s="13"/>
      <c r="I8" s="13" t="s">
        <v>2013</v>
      </c>
      <c r="J8" s="13"/>
      <c r="K8" s="13" t="s">
        <v>300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 t="s">
        <v>228</v>
      </c>
      <c r="X8" s="13"/>
      <c r="Y8" s="13"/>
      <c r="Z8" s="13"/>
      <c r="AA8" s="17" t="s">
        <v>2014</v>
      </c>
      <c r="AB8" s="13"/>
      <c r="AC8" s="13"/>
      <c r="AD8" s="13"/>
      <c r="AE8" s="13"/>
      <c r="AF8" t="s">
        <v>1751</v>
      </c>
    </row>
    <row r="9" spans="1:32" ht="36" customHeight="1" x14ac:dyDescent="0.25">
      <c r="A9" s="14" t="s">
        <v>2015</v>
      </c>
      <c r="B9" s="13" t="s">
        <v>2016</v>
      </c>
      <c r="C9" s="13"/>
      <c r="D9" s="13"/>
      <c r="E9" s="13"/>
      <c r="F9" s="13"/>
      <c r="G9" s="13" t="s">
        <v>1883</v>
      </c>
      <c r="H9" s="13"/>
      <c r="I9" s="13" t="s">
        <v>2013</v>
      </c>
      <c r="J9" s="13"/>
      <c r="K9" s="13" t="s">
        <v>300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 t="s">
        <v>228</v>
      </c>
      <c r="X9" s="13"/>
      <c r="Y9" s="13"/>
      <c r="Z9" s="13" t="s">
        <v>2017</v>
      </c>
      <c r="AA9" s="17" t="s">
        <v>2018</v>
      </c>
      <c r="AB9" s="13"/>
      <c r="AC9" s="13"/>
      <c r="AD9" s="13"/>
      <c r="AE9" s="13"/>
      <c r="AF9" t="s">
        <v>2019</v>
      </c>
    </row>
    <row r="10" spans="1:32" ht="36" customHeight="1" x14ac:dyDescent="0.25">
      <c r="A10" s="14" t="s">
        <v>2020</v>
      </c>
      <c r="B10" s="13" t="s">
        <v>215</v>
      </c>
      <c r="C10" s="13" t="s">
        <v>215</v>
      </c>
      <c r="D10" s="13" t="s">
        <v>215</v>
      </c>
      <c r="E10" s="13" t="s">
        <v>215</v>
      </c>
      <c r="F10" s="13" t="s">
        <v>215</v>
      </c>
      <c r="G10" s="13" t="s">
        <v>251</v>
      </c>
      <c r="H10" s="13" t="s">
        <v>251</v>
      </c>
      <c r="I10" s="13" t="s">
        <v>215</v>
      </c>
      <c r="J10" s="13" t="s">
        <v>215</v>
      </c>
      <c r="K10" s="13" t="s">
        <v>300</v>
      </c>
      <c r="L10" s="13"/>
      <c r="M10" s="13"/>
      <c r="N10" s="13" t="s">
        <v>215</v>
      </c>
      <c r="O10" s="13"/>
      <c r="P10" s="13"/>
      <c r="Q10" s="13" t="s">
        <v>215</v>
      </c>
      <c r="R10" s="13"/>
      <c r="S10" s="13"/>
      <c r="T10" s="13"/>
      <c r="U10" s="13"/>
      <c r="V10" s="13"/>
      <c r="W10" s="13" t="s">
        <v>228</v>
      </c>
      <c r="X10" s="13"/>
      <c r="Y10" s="13"/>
      <c r="Z10" s="13"/>
      <c r="AA10" s="17" t="s">
        <v>215</v>
      </c>
      <c r="AB10" s="13" t="s">
        <v>215</v>
      </c>
      <c r="AC10" s="13"/>
      <c r="AD10" s="13"/>
      <c r="AE10" s="13" t="s">
        <v>215</v>
      </c>
      <c r="AF10" t="s">
        <v>215</v>
      </c>
    </row>
    <row r="11" spans="1:32" ht="36" customHeight="1" x14ac:dyDescent="0.25">
      <c r="A11" s="14" t="s">
        <v>2021</v>
      </c>
      <c r="B11" s="13" t="s">
        <v>215</v>
      </c>
      <c r="C11" s="13" t="s">
        <v>215</v>
      </c>
      <c r="D11" s="13" t="s">
        <v>215</v>
      </c>
      <c r="E11" s="13" t="s">
        <v>215</v>
      </c>
      <c r="F11" s="13" t="s">
        <v>215</v>
      </c>
      <c r="G11" s="13" t="s">
        <v>251</v>
      </c>
      <c r="H11" s="13" t="s">
        <v>251</v>
      </c>
      <c r="I11" s="13" t="s">
        <v>215</v>
      </c>
      <c r="J11" s="13" t="s">
        <v>215</v>
      </c>
      <c r="K11" s="13" t="s">
        <v>300</v>
      </c>
      <c r="L11" s="13" t="s">
        <v>215</v>
      </c>
      <c r="M11" s="13"/>
      <c r="N11" s="13" t="s">
        <v>215</v>
      </c>
      <c r="O11" s="13"/>
      <c r="P11" s="13"/>
      <c r="Q11" s="13" t="s">
        <v>215</v>
      </c>
      <c r="R11" s="13"/>
      <c r="S11" s="13"/>
      <c r="T11" s="13"/>
      <c r="U11" s="13"/>
      <c r="V11" s="13"/>
      <c r="W11" s="13" t="s">
        <v>228</v>
      </c>
      <c r="X11" s="13"/>
      <c r="Y11" s="13"/>
      <c r="Z11" s="13"/>
      <c r="AA11" s="17" t="s">
        <v>215</v>
      </c>
      <c r="AB11" s="13" t="s">
        <v>215</v>
      </c>
      <c r="AC11" s="13"/>
      <c r="AD11" s="13"/>
      <c r="AE11" s="13"/>
    </row>
    <row r="12" spans="1:32" ht="36" customHeight="1" x14ac:dyDescent="0.25">
      <c r="A12" s="14" t="s">
        <v>2022</v>
      </c>
      <c r="B12" s="13" t="s">
        <v>1687</v>
      </c>
      <c r="C12" s="13" t="s">
        <v>1688</v>
      </c>
      <c r="D12" s="13" t="s">
        <v>2023</v>
      </c>
      <c r="E12" s="13" t="s">
        <v>2024</v>
      </c>
      <c r="F12" s="13"/>
      <c r="G12" s="13" t="s">
        <v>251</v>
      </c>
      <c r="H12" s="13"/>
      <c r="I12" s="13" t="s">
        <v>2025</v>
      </c>
      <c r="J12" s="13" t="s">
        <v>2026</v>
      </c>
      <c r="K12" s="13" t="s">
        <v>300</v>
      </c>
      <c r="L12" s="13" t="s">
        <v>2027</v>
      </c>
      <c r="M12" s="13" t="s">
        <v>300</v>
      </c>
      <c r="N12" s="13" t="s">
        <v>2025</v>
      </c>
      <c r="O12" s="13"/>
      <c r="P12" s="13"/>
      <c r="Q12" s="13" t="s">
        <v>2028</v>
      </c>
      <c r="R12" s="13"/>
      <c r="S12" s="13"/>
      <c r="T12" s="13"/>
      <c r="U12" s="13"/>
      <c r="V12" s="13"/>
      <c r="W12" s="13" t="s">
        <v>228</v>
      </c>
      <c r="X12" s="13"/>
      <c r="Y12" s="13"/>
      <c r="Z12" s="13" t="s">
        <v>2029</v>
      </c>
      <c r="AA12" s="17" t="s">
        <v>215</v>
      </c>
      <c r="AB12" s="13"/>
      <c r="AC12" s="13" t="s">
        <v>2030</v>
      </c>
      <c r="AD12" s="13"/>
      <c r="AE12" s="13"/>
      <c r="AF12" t="s">
        <v>2031</v>
      </c>
    </row>
    <row r="13" spans="1:32" ht="36" customHeight="1" x14ac:dyDescent="0.25">
      <c r="A13" s="14" t="s">
        <v>2032</v>
      </c>
      <c r="B13" s="13" t="s">
        <v>1710</v>
      </c>
      <c r="C13" s="13" t="s">
        <v>225</v>
      </c>
      <c r="D13" s="13" t="s">
        <v>225</v>
      </c>
      <c r="E13" s="13" t="s">
        <v>225</v>
      </c>
      <c r="F13" s="13" t="s">
        <v>225</v>
      </c>
      <c r="G13" s="13" t="s">
        <v>251</v>
      </c>
      <c r="H13" s="13" t="s">
        <v>225</v>
      </c>
      <c r="I13" s="13" t="s">
        <v>2033</v>
      </c>
      <c r="J13" s="13" t="s">
        <v>2034</v>
      </c>
      <c r="K13" s="13" t="s">
        <v>225</v>
      </c>
      <c r="L13" s="13" t="s">
        <v>225</v>
      </c>
      <c r="M13" s="13" t="s">
        <v>225</v>
      </c>
      <c r="N13" s="13" t="s">
        <v>1712</v>
      </c>
      <c r="O13" s="13" t="s">
        <v>225</v>
      </c>
      <c r="P13" s="13" t="s">
        <v>225</v>
      </c>
      <c r="Q13" s="13" t="s">
        <v>225</v>
      </c>
      <c r="R13" s="13" t="s">
        <v>225</v>
      </c>
      <c r="S13" s="13" t="s">
        <v>225</v>
      </c>
      <c r="T13" s="13" t="s">
        <v>225</v>
      </c>
      <c r="U13" s="13" t="s">
        <v>1713</v>
      </c>
      <c r="V13" s="13" t="s">
        <v>225</v>
      </c>
      <c r="W13" s="13" t="s">
        <v>228</v>
      </c>
      <c r="X13" s="13" t="s">
        <v>225</v>
      </c>
      <c r="Y13" s="13" t="s">
        <v>225</v>
      </c>
      <c r="Z13" s="13" t="s">
        <v>225</v>
      </c>
      <c r="AA13" s="17" t="s">
        <v>225</v>
      </c>
      <c r="AB13" s="13" t="s">
        <v>225</v>
      </c>
      <c r="AC13" s="13" t="s">
        <v>225</v>
      </c>
      <c r="AD13" s="13" t="s">
        <v>225</v>
      </c>
      <c r="AE13" s="13" t="s">
        <v>225</v>
      </c>
    </row>
    <row r="14" spans="1:32" ht="36" customHeight="1" x14ac:dyDescent="0.25">
      <c r="A14" s="14" t="s">
        <v>2035</v>
      </c>
      <c r="B14" s="13" t="s">
        <v>2036</v>
      </c>
      <c r="C14" s="13" t="s">
        <v>1983</v>
      </c>
      <c r="D14" s="13" t="s">
        <v>2037</v>
      </c>
      <c r="E14" s="13"/>
      <c r="F14" s="13" t="s">
        <v>2038</v>
      </c>
      <c r="G14" s="13" t="s">
        <v>251</v>
      </c>
      <c r="H14" s="13"/>
      <c r="I14" s="13" t="s">
        <v>225</v>
      </c>
      <c r="J14" s="13" t="s">
        <v>2039</v>
      </c>
      <c r="K14" s="13" t="s">
        <v>300</v>
      </c>
      <c r="L14" s="13" t="s">
        <v>2040</v>
      </c>
      <c r="M14" s="13" t="s">
        <v>300</v>
      </c>
      <c r="N14" s="13" t="s">
        <v>1721</v>
      </c>
      <c r="O14" s="13" t="s">
        <v>225</v>
      </c>
      <c r="P14" s="13" t="s">
        <v>1721</v>
      </c>
      <c r="Q14" s="13" t="s">
        <v>2041</v>
      </c>
      <c r="R14" s="13" t="s">
        <v>225</v>
      </c>
      <c r="S14" s="13"/>
      <c r="T14" s="13" t="s">
        <v>225</v>
      </c>
      <c r="U14" s="13" t="s">
        <v>225</v>
      </c>
      <c r="V14" s="13" t="s">
        <v>225</v>
      </c>
      <c r="W14" s="13" t="s">
        <v>228</v>
      </c>
      <c r="X14" s="13"/>
      <c r="Y14" s="13" t="s">
        <v>225</v>
      </c>
      <c r="Z14" s="13" t="s">
        <v>225</v>
      </c>
      <c r="AA14" s="17" t="s">
        <v>2042</v>
      </c>
      <c r="AB14" s="13" t="s">
        <v>225</v>
      </c>
      <c r="AC14" s="13" t="s">
        <v>225</v>
      </c>
      <c r="AD14" s="13" t="s">
        <v>225</v>
      </c>
      <c r="AE14" s="13" t="s">
        <v>2043</v>
      </c>
      <c r="AF14" t="s">
        <v>2044</v>
      </c>
    </row>
    <row r="15" spans="1:32" ht="36" customHeight="1" x14ac:dyDescent="0.25">
      <c r="A15" s="14" t="s">
        <v>2045</v>
      </c>
      <c r="B15" s="13" t="s">
        <v>215</v>
      </c>
      <c r="C15" s="13"/>
      <c r="D15" s="13"/>
      <c r="E15" s="13"/>
      <c r="F15" s="13"/>
      <c r="G15" s="13" t="s">
        <v>251</v>
      </c>
      <c r="H15" s="13"/>
      <c r="I15" s="13" t="s">
        <v>225</v>
      </c>
      <c r="J15" s="13"/>
      <c r="K15" s="13" t="s">
        <v>300</v>
      </c>
      <c r="L15" s="13" t="s">
        <v>215</v>
      </c>
      <c r="M15" s="13" t="s">
        <v>300</v>
      </c>
      <c r="N15" s="13"/>
      <c r="O15" s="13"/>
      <c r="P15" s="13"/>
      <c r="Q15" s="13"/>
      <c r="R15" s="13"/>
      <c r="S15" s="13"/>
      <c r="T15" s="13"/>
      <c r="U15" s="13" t="s">
        <v>225</v>
      </c>
      <c r="V15" s="13"/>
      <c r="W15" s="13" t="s">
        <v>228</v>
      </c>
      <c r="X15" s="13"/>
      <c r="Y15" s="13" t="s">
        <v>225</v>
      </c>
      <c r="Z15" s="13"/>
      <c r="AA15" s="17" t="s">
        <v>225</v>
      </c>
      <c r="AB15" s="13"/>
      <c r="AC15" s="13"/>
      <c r="AD15" s="13"/>
      <c r="AE15" s="13"/>
      <c r="AF15" t="s">
        <v>1346</v>
      </c>
    </row>
    <row r="16" spans="1:32" ht="36" customHeight="1" x14ac:dyDescent="0.25">
      <c r="A16" s="14" t="s">
        <v>2046</v>
      </c>
      <c r="B16" s="13" t="s">
        <v>215</v>
      </c>
      <c r="C16" s="13" t="s">
        <v>1894</v>
      </c>
      <c r="D16" s="13" t="s">
        <v>215</v>
      </c>
      <c r="E16" s="13" t="s">
        <v>215</v>
      </c>
      <c r="F16" s="13" t="s">
        <v>215</v>
      </c>
      <c r="G16" s="13" t="s">
        <v>251</v>
      </c>
      <c r="H16" s="13" t="s">
        <v>1895</v>
      </c>
      <c r="I16" s="13" t="s">
        <v>225</v>
      </c>
      <c r="J16" s="13"/>
      <c r="K16" s="13" t="s">
        <v>1897</v>
      </c>
      <c r="L16" s="13" t="s">
        <v>215</v>
      </c>
      <c r="M16" s="13" t="s">
        <v>300</v>
      </c>
      <c r="N16" s="13" t="s">
        <v>215</v>
      </c>
      <c r="O16" s="13"/>
      <c r="P16" s="13" t="s">
        <v>215</v>
      </c>
      <c r="Q16" s="13" t="s">
        <v>215</v>
      </c>
      <c r="R16" s="13"/>
      <c r="S16" s="13" t="s">
        <v>215</v>
      </c>
      <c r="T16" s="13"/>
      <c r="U16" s="13"/>
      <c r="V16" s="13" t="s">
        <v>496</v>
      </c>
      <c r="W16" s="13" t="s">
        <v>228</v>
      </c>
      <c r="X16" s="13"/>
      <c r="Y16" s="13"/>
      <c r="Z16" s="13"/>
      <c r="AA16" s="17" t="s">
        <v>215</v>
      </c>
      <c r="AB16" s="13" t="s">
        <v>1898</v>
      </c>
      <c r="AC16" s="13" t="s">
        <v>215</v>
      </c>
      <c r="AD16" s="13"/>
      <c r="AE16" s="13" t="s">
        <v>215</v>
      </c>
      <c r="AF16" t="s">
        <v>215</v>
      </c>
    </row>
    <row r="17" spans="1:32" ht="36" customHeight="1" x14ac:dyDescent="0.25">
      <c r="A17" s="14" t="s">
        <v>2047</v>
      </c>
      <c r="B17" s="13" t="s">
        <v>215</v>
      </c>
      <c r="C17" s="13" t="s">
        <v>1894</v>
      </c>
      <c r="D17" s="13" t="s">
        <v>215</v>
      </c>
      <c r="E17" s="13" t="s">
        <v>215</v>
      </c>
      <c r="F17" s="13" t="s">
        <v>215</v>
      </c>
      <c r="G17" s="13" t="s">
        <v>251</v>
      </c>
      <c r="H17" s="13" t="s">
        <v>2048</v>
      </c>
      <c r="I17" s="13" t="s">
        <v>225</v>
      </c>
      <c r="J17" s="13" t="s">
        <v>2049</v>
      </c>
      <c r="K17" s="13" t="s">
        <v>1897</v>
      </c>
      <c r="L17" s="13" t="s">
        <v>215</v>
      </c>
      <c r="M17" s="13" t="s">
        <v>300</v>
      </c>
      <c r="N17" s="13" t="s">
        <v>215</v>
      </c>
      <c r="O17" s="13"/>
      <c r="P17" s="13" t="s">
        <v>215</v>
      </c>
      <c r="Q17" s="13" t="s">
        <v>215</v>
      </c>
      <c r="R17" s="13"/>
      <c r="S17" s="13" t="s">
        <v>215</v>
      </c>
      <c r="T17" s="13" t="s">
        <v>2050</v>
      </c>
      <c r="U17" s="13" t="s">
        <v>215</v>
      </c>
      <c r="V17" s="13" t="s">
        <v>496</v>
      </c>
      <c r="W17" s="13" t="s">
        <v>228</v>
      </c>
      <c r="X17" s="13"/>
      <c r="Y17" s="13"/>
      <c r="Z17" s="13" t="s">
        <v>215</v>
      </c>
      <c r="AA17" s="17" t="s">
        <v>215</v>
      </c>
      <c r="AB17" s="13" t="s">
        <v>215</v>
      </c>
      <c r="AC17" s="13" t="s">
        <v>215</v>
      </c>
      <c r="AD17" s="13"/>
      <c r="AE17" s="13" t="s">
        <v>215</v>
      </c>
      <c r="AF17" t="s">
        <v>215</v>
      </c>
    </row>
    <row r="18" spans="1:32" ht="36" customHeight="1" x14ac:dyDescent="0.25">
      <c r="A18" s="14" t="s">
        <v>2051</v>
      </c>
      <c r="B18" s="13" t="s">
        <v>1813</v>
      </c>
      <c r="C18" s="13"/>
      <c r="D18" s="13"/>
      <c r="E18" s="13" t="s">
        <v>1813</v>
      </c>
      <c r="F18" s="13" t="s">
        <v>1938</v>
      </c>
      <c r="G18" s="13" t="s">
        <v>251</v>
      </c>
      <c r="H18" s="13" t="s">
        <v>654</v>
      </c>
      <c r="I18" s="13" t="s">
        <v>228</v>
      </c>
      <c r="J18" s="13"/>
      <c r="K18" s="13" t="s">
        <v>300</v>
      </c>
      <c r="L18" s="13" t="s">
        <v>1939</v>
      </c>
      <c r="M18" s="13" t="s">
        <v>300</v>
      </c>
      <c r="N18" s="13" t="s">
        <v>662</v>
      </c>
      <c r="O18" s="13"/>
      <c r="P18" s="13"/>
      <c r="Q18" s="13"/>
      <c r="R18" s="13"/>
      <c r="S18" s="13" t="s">
        <v>2052</v>
      </c>
      <c r="T18" s="13"/>
      <c r="U18" s="13" t="s">
        <v>659</v>
      </c>
      <c r="V18" s="13" t="s">
        <v>228</v>
      </c>
      <c r="W18" s="13" t="s">
        <v>228</v>
      </c>
      <c r="X18" s="13"/>
      <c r="Y18" s="13"/>
      <c r="Z18" s="13" t="s">
        <v>1940</v>
      </c>
      <c r="AA18" s="17" t="s">
        <v>1822</v>
      </c>
      <c r="AB18" s="13" t="s">
        <v>1823</v>
      </c>
      <c r="AC18" s="13"/>
      <c r="AD18" s="13"/>
      <c r="AE18" s="13"/>
      <c r="AF18" t="s">
        <v>248</v>
      </c>
    </row>
    <row r="19" spans="1:32" ht="36" customHeight="1" x14ac:dyDescent="0.25">
      <c r="A19" s="14" t="s">
        <v>2053</v>
      </c>
      <c r="B19" s="13" t="s">
        <v>1909</v>
      </c>
      <c r="C19" s="13"/>
      <c r="D19" s="13"/>
      <c r="E19" s="13" t="s">
        <v>1909</v>
      </c>
      <c r="F19" s="13" t="s">
        <v>1942</v>
      </c>
      <c r="G19" s="13" t="s">
        <v>251</v>
      </c>
      <c r="H19" s="13"/>
      <c r="I19" s="13" t="s">
        <v>228</v>
      </c>
      <c r="J19" s="13"/>
      <c r="K19" s="13" t="s">
        <v>300</v>
      </c>
      <c r="L19" s="13" t="s">
        <v>1939</v>
      </c>
      <c r="M19" s="13" t="s">
        <v>300</v>
      </c>
      <c r="N19" s="13" t="s">
        <v>1909</v>
      </c>
      <c r="O19" s="13"/>
      <c r="P19" s="13"/>
      <c r="Q19" s="13"/>
      <c r="R19" s="13"/>
      <c r="S19" s="13"/>
      <c r="T19" s="13"/>
      <c r="U19" s="13"/>
      <c r="V19" s="13" t="s">
        <v>228</v>
      </c>
      <c r="W19" s="13" t="s">
        <v>228</v>
      </c>
      <c r="X19" s="13"/>
      <c r="Y19" s="13"/>
      <c r="Z19" s="13" t="s">
        <v>1943</v>
      </c>
      <c r="AA19" s="17" t="s">
        <v>1828</v>
      </c>
      <c r="AB19" s="13"/>
      <c r="AC19" s="13"/>
      <c r="AD19" s="13"/>
      <c r="AE19" s="13"/>
    </row>
    <row r="20" spans="1:32" ht="36" customHeight="1" x14ac:dyDescent="0.25">
      <c r="A20" s="14" t="s">
        <v>1830</v>
      </c>
      <c r="B20" s="13" t="s">
        <v>2054</v>
      </c>
      <c r="C20" s="13"/>
      <c r="D20" s="13"/>
      <c r="E20" s="13" t="s">
        <v>2055</v>
      </c>
      <c r="F20" s="13" t="s">
        <v>2056</v>
      </c>
      <c r="G20" s="13" t="s">
        <v>1883</v>
      </c>
      <c r="H20" s="13" t="s">
        <v>654</v>
      </c>
      <c r="I20" s="13" t="s">
        <v>228</v>
      </c>
      <c r="J20" s="13"/>
      <c r="K20" s="13" t="s">
        <v>300</v>
      </c>
      <c r="L20" s="13" t="s">
        <v>1939</v>
      </c>
      <c r="M20" s="13" t="s">
        <v>300</v>
      </c>
      <c r="N20" s="13" t="s">
        <v>2057</v>
      </c>
      <c r="O20" s="13"/>
      <c r="P20" s="13"/>
      <c r="Q20" s="13"/>
      <c r="R20" s="13"/>
      <c r="S20" s="13" t="s">
        <v>2058</v>
      </c>
      <c r="T20" s="13"/>
      <c r="U20" s="13" t="s">
        <v>2059</v>
      </c>
      <c r="V20" s="13" t="s">
        <v>228</v>
      </c>
      <c r="W20" s="13" t="s">
        <v>228</v>
      </c>
      <c r="X20" s="13"/>
      <c r="Y20" s="13"/>
      <c r="Z20" s="13" t="s">
        <v>1039</v>
      </c>
      <c r="AA20" s="17" t="s">
        <v>1838</v>
      </c>
      <c r="AB20" s="13" t="s">
        <v>1822</v>
      </c>
      <c r="AC20" s="13"/>
      <c r="AD20" s="13"/>
      <c r="AE20" s="13" t="s">
        <v>2060</v>
      </c>
      <c r="AF20" t="s">
        <v>1840</v>
      </c>
    </row>
    <row r="21" spans="1:32" ht="36" customHeight="1" x14ac:dyDescent="0.25">
      <c r="A21" s="14" t="s">
        <v>1841</v>
      </c>
      <c r="B21" s="13" t="s">
        <v>215</v>
      </c>
      <c r="C21" s="13"/>
      <c r="D21" s="13"/>
      <c r="E21" s="13" t="s">
        <v>215</v>
      </c>
      <c r="F21" s="13" t="s">
        <v>215</v>
      </c>
      <c r="G21" s="13" t="s">
        <v>251</v>
      </c>
      <c r="H21" s="13"/>
      <c r="I21" s="13" t="s">
        <v>228</v>
      </c>
      <c r="J21" s="13" t="s">
        <v>215</v>
      </c>
      <c r="K21" s="13" t="s">
        <v>300</v>
      </c>
      <c r="L21" s="13" t="s">
        <v>215</v>
      </c>
      <c r="M21" s="13" t="s">
        <v>300</v>
      </c>
      <c r="N21" s="13" t="s">
        <v>215</v>
      </c>
      <c r="O21" s="13"/>
      <c r="P21" s="13" t="s">
        <v>215</v>
      </c>
      <c r="Q21" s="13" t="s">
        <v>215</v>
      </c>
      <c r="R21" s="13"/>
      <c r="S21" s="13" t="s">
        <v>215</v>
      </c>
      <c r="T21" s="13"/>
      <c r="U21" s="13" t="s">
        <v>215</v>
      </c>
      <c r="V21" s="13"/>
      <c r="W21" s="13" t="s">
        <v>228</v>
      </c>
      <c r="X21" s="13"/>
      <c r="Y21" s="13" t="s">
        <v>1848</v>
      </c>
      <c r="Z21" s="13" t="s">
        <v>215</v>
      </c>
      <c r="AA21" s="17" t="s">
        <v>215</v>
      </c>
      <c r="AB21" s="13" t="s">
        <v>215</v>
      </c>
      <c r="AC21" s="13" t="s">
        <v>215</v>
      </c>
      <c r="AD21" s="13"/>
      <c r="AE21" s="13" t="s">
        <v>215</v>
      </c>
      <c r="AF21" t="s">
        <v>1850</v>
      </c>
    </row>
    <row r="22" spans="1:32" ht="36" customHeight="1" x14ac:dyDescent="0.25">
      <c r="A22" s="14" t="s">
        <v>1851</v>
      </c>
      <c r="B22" s="13" t="s">
        <v>1870</v>
      </c>
      <c r="C22" s="13"/>
      <c r="D22" s="13"/>
      <c r="E22" s="13" t="s">
        <v>1853</v>
      </c>
      <c r="F22" s="13" t="s">
        <v>215</v>
      </c>
      <c r="G22" s="13" t="s">
        <v>251</v>
      </c>
      <c r="H22" s="13"/>
      <c r="I22" s="13" t="s">
        <v>228</v>
      </c>
      <c r="J22" s="13"/>
      <c r="K22" s="13" t="s">
        <v>300</v>
      </c>
      <c r="L22" s="13" t="s">
        <v>215</v>
      </c>
      <c r="M22" s="13" t="s">
        <v>300</v>
      </c>
      <c r="N22" s="13"/>
      <c r="O22" s="13"/>
      <c r="P22" s="13"/>
      <c r="Q22" s="13"/>
      <c r="R22" s="13"/>
      <c r="S22" s="13"/>
      <c r="T22" s="13"/>
      <c r="U22" s="13"/>
      <c r="V22" s="13"/>
      <c r="W22" s="13" t="s">
        <v>228</v>
      </c>
      <c r="X22" s="13"/>
      <c r="Y22" s="13"/>
      <c r="Z22" s="13"/>
      <c r="AA22" s="17" t="s">
        <v>215</v>
      </c>
      <c r="AB22" s="13" t="s">
        <v>215</v>
      </c>
      <c r="AC22" s="13"/>
      <c r="AD22" s="13"/>
      <c r="AE22" s="13"/>
      <c r="AF22" t="s">
        <v>1850</v>
      </c>
    </row>
    <row r="23" spans="1:32" ht="36" customHeight="1" x14ac:dyDescent="0.25">
      <c r="A23" s="14" t="s">
        <v>2061</v>
      </c>
      <c r="B23" s="13" t="s">
        <v>1872</v>
      </c>
      <c r="C23" s="13"/>
      <c r="D23" s="13"/>
      <c r="E23" s="13"/>
      <c r="F23" s="13"/>
      <c r="G23" s="13" t="s">
        <v>251</v>
      </c>
      <c r="H23" s="13"/>
      <c r="I23" s="13" t="s">
        <v>228</v>
      </c>
      <c r="J23" s="13"/>
      <c r="K23" s="13" t="s">
        <v>300</v>
      </c>
      <c r="L23" s="13" t="s">
        <v>1873</v>
      </c>
      <c r="M23" s="13" t="s">
        <v>300</v>
      </c>
      <c r="N23" s="13"/>
      <c r="O23" s="13"/>
      <c r="P23" s="13"/>
      <c r="Q23" s="13"/>
      <c r="R23" s="13" t="s">
        <v>1874</v>
      </c>
      <c r="S23" s="13"/>
      <c r="T23" s="13"/>
      <c r="U23" s="13"/>
      <c r="V23" s="13"/>
      <c r="W23" s="13" t="s">
        <v>228</v>
      </c>
      <c r="X23" s="13"/>
      <c r="Y23" s="13"/>
      <c r="Z23" s="13"/>
      <c r="AA23" s="17" t="s">
        <v>215</v>
      </c>
      <c r="AB23" s="13" t="s">
        <v>1875</v>
      </c>
      <c r="AC23" s="13"/>
      <c r="AD23" s="13"/>
      <c r="AE23" s="13"/>
      <c r="AF23" t="s">
        <v>1876</v>
      </c>
    </row>
    <row r="24" spans="1:32" ht="36" customHeight="1" x14ac:dyDescent="0.25">
      <c r="A24" s="14" t="s">
        <v>2062</v>
      </c>
      <c r="B24" s="13" t="s">
        <v>1878</v>
      </c>
      <c r="C24" s="13"/>
      <c r="D24" s="13"/>
      <c r="E24" s="13"/>
      <c r="F24" s="13" t="s">
        <v>1879</v>
      </c>
      <c r="G24" s="13" t="s">
        <v>251</v>
      </c>
      <c r="H24" s="13"/>
      <c r="I24" s="13" t="s">
        <v>228</v>
      </c>
      <c r="J24" s="13"/>
      <c r="K24" s="13" t="s">
        <v>300</v>
      </c>
      <c r="L24" s="13" t="s">
        <v>1880</v>
      </c>
      <c r="M24" s="13" t="s">
        <v>300</v>
      </c>
      <c r="N24" s="13"/>
      <c r="O24" s="13"/>
      <c r="P24" s="13"/>
      <c r="Q24" s="13"/>
      <c r="R24" s="13"/>
      <c r="S24" s="13"/>
      <c r="T24" s="13"/>
      <c r="U24" s="13"/>
      <c r="V24" s="13"/>
      <c r="W24" s="13" t="s">
        <v>228</v>
      </c>
      <c r="X24" s="13"/>
      <c r="Y24" s="13"/>
      <c r="Z24" s="13"/>
      <c r="AA24" s="17" t="s">
        <v>2063</v>
      </c>
      <c r="AB24" s="13"/>
      <c r="AC24" s="13"/>
      <c r="AD24" s="13"/>
      <c r="AE24" s="13"/>
      <c r="AF24" t="s">
        <v>215</v>
      </c>
    </row>
    <row r="25" spans="1:32" ht="36" customHeight="1" x14ac:dyDescent="0.25">
      <c r="A25" s="14" t="s">
        <v>2064</v>
      </c>
      <c r="B25" s="13"/>
      <c r="C25" s="13"/>
      <c r="D25" s="13"/>
      <c r="E25" s="13"/>
      <c r="F25" s="13"/>
      <c r="G25" s="13" t="s">
        <v>1883</v>
      </c>
      <c r="H25" s="13" t="s">
        <v>1884</v>
      </c>
      <c r="I25" s="13" t="s">
        <v>228</v>
      </c>
      <c r="J25" s="13"/>
      <c r="K25" s="13" t="s">
        <v>300</v>
      </c>
      <c r="L25" s="13" t="s">
        <v>1885</v>
      </c>
      <c r="M25" s="13" t="s">
        <v>300</v>
      </c>
      <c r="N25" s="13"/>
      <c r="O25" s="13"/>
      <c r="P25" s="13"/>
      <c r="Q25" s="13"/>
      <c r="R25" s="13"/>
      <c r="S25" s="13"/>
      <c r="T25" s="13"/>
      <c r="U25" s="13"/>
      <c r="V25" s="13"/>
      <c r="W25" s="13" t="s">
        <v>228</v>
      </c>
      <c r="X25" s="13"/>
      <c r="Y25" s="13" t="s">
        <v>1886</v>
      </c>
      <c r="Z25" s="13"/>
      <c r="AA25" s="17" t="s">
        <v>215</v>
      </c>
      <c r="AB25" s="13" t="s">
        <v>2065</v>
      </c>
      <c r="AC25" s="13"/>
      <c r="AD25" s="13"/>
      <c r="AE25" s="13"/>
      <c r="AF25" t="s">
        <v>1346</v>
      </c>
    </row>
    <row r="26" spans="1:32" ht="36" customHeight="1" x14ac:dyDescent="0.25">
      <c r="A26" s="14" t="s">
        <v>2066</v>
      </c>
      <c r="B26" s="13" t="s">
        <v>215</v>
      </c>
      <c r="C26" s="13"/>
      <c r="D26" s="13"/>
      <c r="E26" s="13" t="s">
        <v>215</v>
      </c>
      <c r="F26" s="13" t="s">
        <v>215</v>
      </c>
      <c r="G26" s="13" t="s">
        <v>251</v>
      </c>
      <c r="H26" s="13"/>
      <c r="I26" s="13" t="s">
        <v>228</v>
      </c>
      <c r="J26" s="13"/>
      <c r="K26" s="13" t="s">
        <v>300</v>
      </c>
      <c r="L26" s="13" t="s">
        <v>215</v>
      </c>
      <c r="M26" s="13" t="s">
        <v>300</v>
      </c>
      <c r="N26" s="13" t="s">
        <v>215</v>
      </c>
      <c r="O26" s="13"/>
      <c r="P26" s="13" t="s">
        <v>215</v>
      </c>
      <c r="Q26" s="13" t="s">
        <v>215</v>
      </c>
      <c r="R26" s="13"/>
      <c r="S26" s="13" t="s">
        <v>215</v>
      </c>
      <c r="T26" s="13"/>
      <c r="U26" s="13"/>
      <c r="V26" s="13"/>
      <c r="W26" s="13" t="s">
        <v>228</v>
      </c>
      <c r="X26" s="13"/>
      <c r="Y26" s="13"/>
      <c r="Z26" s="13"/>
      <c r="AA26" s="17" t="s">
        <v>215</v>
      </c>
      <c r="AB26" s="13" t="s">
        <v>1888</v>
      </c>
      <c r="AC26" s="13" t="s">
        <v>215</v>
      </c>
      <c r="AD26" s="13"/>
      <c r="AE26" s="13" t="s">
        <v>215</v>
      </c>
    </row>
    <row r="27" spans="1:32" ht="36" customHeight="1" x14ac:dyDescent="0.25">
      <c r="A27" s="14" t="s">
        <v>2067</v>
      </c>
      <c r="B27" s="13" t="s">
        <v>1775</v>
      </c>
      <c r="C27" s="13" t="s">
        <v>1776</v>
      </c>
      <c r="D27" s="13" t="s">
        <v>1777</v>
      </c>
      <c r="E27" s="13" t="s">
        <v>1778</v>
      </c>
      <c r="F27" s="13" t="s">
        <v>1779</v>
      </c>
      <c r="G27" s="13" t="s">
        <v>1780</v>
      </c>
      <c r="H27" s="13" t="s">
        <v>1781</v>
      </c>
      <c r="I27" s="13" t="s">
        <v>1782</v>
      </c>
      <c r="J27" s="13" t="s">
        <v>1783</v>
      </c>
      <c r="K27" s="13" t="s">
        <v>1784</v>
      </c>
      <c r="L27" s="13" t="s">
        <v>1785</v>
      </c>
      <c r="M27" s="13" t="s">
        <v>1786</v>
      </c>
      <c r="N27" s="13" t="s">
        <v>1787</v>
      </c>
      <c r="O27" s="13" t="s">
        <v>1788</v>
      </c>
      <c r="P27" s="13" t="s">
        <v>1789</v>
      </c>
      <c r="Q27" s="13" t="s">
        <v>1790</v>
      </c>
      <c r="R27" s="13" t="s">
        <v>1791</v>
      </c>
      <c r="S27" s="13" t="s">
        <v>1792</v>
      </c>
      <c r="T27" s="13" t="s">
        <v>1793</v>
      </c>
      <c r="U27" s="13" t="s">
        <v>1794</v>
      </c>
      <c r="V27" s="13" t="s">
        <v>1795</v>
      </c>
      <c r="W27" s="13" t="s">
        <v>1796</v>
      </c>
      <c r="X27" s="13" t="s">
        <v>1797</v>
      </c>
      <c r="Y27" s="13" t="s">
        <v>1798</v>
      </c>
      <c r="Z27" s="13" t="s">
        <v>1799</v>
      </c>
      <c r="AA27" s="17" t="s">
        <v>1800</v>
      </c>
      <c r="AB27" s="13" t="s">
        <v>1801</v>
      </c>
      <c r="AC27" s="13" t="s">
        <v>1802</v>
      </c>
      <c r="AD27" s="13"/>
      <c r="AE27" s="13" t="s">
        <v>1803</v>
      </c>
    </row>
    <row r="28" spans="1:32" ht="23.1" customHeight="1" x14ac:dyDescent="0.25">
      <c r="A28" s="15" t="s">
        <v>2068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</row>
    <row r="29" spans="1:32" ht="36" customHeight="1" x14ac:dyDescent="0.25">
      <c r="A29" s="14" t="s">
        <v>2069</v>
      </c>
      <c r="B29" s="13" t="s">
        <v>1236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 t="s">
        <v>215</v>
      </c>
      <c r="AB29" s="13"/>
      <c r="AC29" s="13"/>
      <c r="AD29" s="13"/>
      <c r="AE29" s="13"/>
      <c r="AF29" t="s">
        <v>2070</v>
      </c>
    </row>
    <row r="30" spans="1:32" ht="23.1" customHeight="1" x14ac:dyDescent="0.25">
      <c r="A30" s="15" t="s">
        <v>1734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  <c r="AB30" s="15"/>
      <c r="AC30" s="15"/>
      <c r="AD30" s="15"/>
      <c r="AE30" s="15"/>
      <c r="AF30" t="s">
        <v>1735</v>
      </c>
    </row>
    <row r="31" spans="1:32" ht="36" customHeight="1" x14ac:dyDescent="0.25">
      <c r="A31" s="14" t="s">
        <v>1736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 t="s">
        <v>215</v>
      </c>
      <c r="M31" s="13"/>
      <c r="N31" s="13"/>
      <c r="O31" s="13"/>
      <c r="P31" s="13"/>
      <c r="Q31" s="13"/>
      <c r="R31" s="13"/>
      <c r="S31" s="13" t="s">
        <v>215</v>
      </c>
      <c r="T31" s="13"/>
      <c r="U31" s="13"/>
      <c r="V31" s="13"/>
      <c r="W31" s="13"/>
      <c r="X31" s="13"/>
      <c r="Y31" s="13"/>
      <c r="Z31" s="13"/>
      <c r="AA31" s="17" t="s">
        <v>225</v>
      </c>
      <c r="AB31" s="13"/>
      <c r="AC31" s="13"/>
      <c r="AD31" s="13"/>
      <c r="AE31" s="13"/>
      <c r="AF31" t="s">
        <v>1737</v>
      </c>
    </row>
    <row r="32" spans="1:32" ht="36" customHeight="1" x14ac:dyDescent="0.25">
      <c r="A32" s="14" t="s">
        <v>2071</v>
      </c>
      <c r="B32" s="13" t="s">
        <v>1393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 t="s">
        <v>2072</v>
      </c>
      <c r="AB32" s="13"/>
      <c r="AC32" s="13"/>
      <c r="AD32" s="13"/>
      <c r="AE32" s="13"/>
      <c r="AF32" t="s">
        <v>2073</v>
      </c>
    </row>
    <row r="33" spans="1:32" ht="36" customHeight="1" x14ac:dyDescent="0.25">
      <c r="A33" s="14" t="s">
        <v>2074</v>
      </c>
      <c r="B33" s="13"/>
      <c r="C33" s="13"/>
      <c r="D33" s="13"/>
      <c r="E33" s="13"/>
      <c r="F33" s="13"/>
      <c r="G33" s="13"/>
      <c r="H33" s="13"/>
      <c r="I33" s="13"/>
      <c r="J33" s="13" t="s">
        <v>2075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 t="s">
        <v>225</v>
      </c>
      <c r="AB33" s="13"/>
      <c r="AC33" s="13"/>
      <c r="AD33" s="13"/>
      <c r="AE33" s="13"/>
      <c r="AF33" t="s">
        <v>2076</v>
      </c>
    </row>
  </sheetData>
  <mergeCells count="1">
    <mergeCell ref="A1:A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36"/>
  <sheetViews>
    <sheetView workbookViewId="0">
      <pane xSplit="2" ySplit="2" topLeftCell="X20" activePane="bottomRight" state="frozen"/>
      <selection pane="topRight" activeCell="C1" sqref="C1"/>
      <selection pane="bottomLeft" activeCell="A3" sqref="A3"/>
      <selection pane="bottomRight" activeCell="AA40" sqref="AA40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Directory'!A1","Files, Uploads &amp; Storage — Granular"),"Files, Uploads &amp; Storage — Granular")</f>
        <v>Files, Uploads &amp; Storage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2077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2078</v>
      </c>
      <c r="B4" s="13" t="s">
        <v>215</v>
      </c>
      <c r="C4" s="13" t="s">
        <v>215</v>
      </c>
      <c r="D4" s="13" t="s">
        <v>215</v>
      </c>
      <c r="E4" s="13" t="s">
        <v>215</v>
      </c>
      <c r="F4" s="13" t="s">
        <v>215</v>
      </c>
      <c r="G4" s="13" t="s">
        <v>215</v>
      </c>
      <c r="H4" s="13" t="s">
        <v>215</v>
      </c>
      <c r="I4" s="13" t="s">
        <v>225</v>
      </c>
      <c r="J4" s="13"/>
      <c r="K4" s="13" t="s">
        <v>215</v>
      </c>
      <c r="L4" s="13" t="s">
        <v>215</v>
      </c>
      <c r="M4" s="13" t="s">
        <v>215</v>
      </c>
      <c r="N4" s="13" t="s">
        <v>215</v>
      </c>
      <c r="O4" s="13" t="s">
        <v>215</v>
      </c>
      <c r="P4" s="13" t="s">
        <v>215</v>
      </c>
      <c r="Q4" s="13" t="s">
        <v>215</v>
      </c>
      <c r="R4" s="13" t="s">
        <v>215</v>
      </c>
      <c r="S4" s="13" t="s">
        <v>215</v>
      </c>
      <c r="T4" s="13" t="s">
        <v>215</v>
      </c>
      <c r="U4" s="13" t="s">
        <v>215</v>
      </c>
      <c r="V4" s="13" t="s">
        <v>215</v>
      </c>
      <c r="W4" s="13" t="s">
        <v>215</v>
      </c>
      <c r="X4" s="13" t="s">
        <v>215</v>
      </c>
      <c r="Y4" s="13" t="s">
        <v>215</v>
      </c>
      <c r="Z4" s="13" t="s">
        <v>215</v>
      </c>
      <c r="AA4" s="17" t="s">
        <v>215</v>
      </c>
      <c r="AB4" s="13" t="s">
        <v>215</v>
      </c>
      <c r="AC4" s="13" t="s">
        <v>215</v>
      </c>
      <c r="AD4" s="13" t="s">
        <v>215</v>
      </c>
      <c r="AE4" s="13" t="s">
        <v>215</v>
      </c>
      <c r="AF4" t="s">
        <v>215</v>
      </c>
    </row>
    <row r="5" spans="1:32" ht="36" customHeight="1" x14ac:dyDescent="0.25">
      <c r="A5" s="14" t="s">
        <v>2079</v>
      </c>
      <c r="B5" s="13" t="s">
        <v>641</v>
      </c>
      <c r="C5" s="13"/>
      <c r="D5" s="13"/>
      <c r="E5" s="13" t="s">
        <v>643</v>
      </c>
      <c r="F5" s="13" t="s">
        <v>643</v>
      </c>
      <c r="G5" s="13"/>
      <c r="H5" s="13"/>
      <c r="I5" s="13"/>
      <c r="J5" s="13"/>
      <c r="K5" s="13"/>
      <c r="L5" s="13"/>
      <c r="M5" s="13"/>
      <c r="N5" s="13" t="s">
        <v>646</v>
      </c>
      <c r="O5" s="13"/>
      <c r="P5" s="13"/>
      <c r="Q5" s="13"/>
      <c r="R5" s="13"/>
      <c r="S5" s="13" t="s">
        <v>647</v>
      </c>
      <c r="T5" s="13"/>
      <c r="U5" s="13"/>
      <c r="V5" s="13"/>
      <c r="W5" s="13"/>
      <c r="X5" s="13"/>
      <c r="Y5" s="13"/>
      <c r="Z5" s="13"/>
      <c r="AA5" s="17" t="s">
        <v>648</v>
      </c>
      <c r="AB5" s="13"/>
      <c r="AC5" s="13"/>
      <c r="AD5" s="13"/>
      <c r="AE5" s="13"/>
      <c r="AF5" t="s">
        <v>2080</v>
      </c>
    </row>
    <row r="6" spans="1:32" ht="36" customHeight="1" x14ac:dyDescent="0.25">
      <c r="A6" s="14" t="s">
        <v>2081</v>
      </c>
      <c r="B6" s="13" t="s">
        <v>646</v>
      </c>
      <c r="C6" s="13"/>
      <c r="D6" s="13"/>
      <c r="E6" s="13" t="s">
        <v>646</v>
      </c>
      <c r="F6" s="13"/>
      <c r="G6" s="13"/>
      <c r="H6" s="13"/>
      <c r="I6" s="13"/>
      <c r="J6" s="13"/>
      <c r="K6" s="13"/>
      <c r="L6" s="13"/>
      <c r="M6" s="13"/>
      <c r="N6" s="13" t="s">
        <v>2082</v>
      </c>
      <c r="O6" s="13"/>
      <c r="P6" s="13"/>
      <c r="Q6" s="13"/>
      <c r="R6" s="13"/>
      <c r="S6" s="13" t="s">
        <v>2083</v>
      </c>
      <c r="T6" s="13"/>
      <c r="U6" s="13"/>
      <c r="V6" s="13"/>
      <c r="W6" s="13"/>
      <c r="X6" s="13"/>
      <c r="Y6" s="13"/>
      <c r="Z6" s="13"/>
      <c r="AA6" s="17" t="s">
        <v>2084</v>
      </c>
      <c r="AB6" s="13"/>
      <c r="AC6" s="13"/>
      <c r="AD6" s="13"/>
      <c r="AE6" s="13"/>
      <c r="AF6" t="s">
        <v>2085</v>
      </c>
    </row>
    <row r="7" spans="1:32" ht="36" customHeight="1" x14ac:dyDescent="0.25">
      <c r="A7" s="14" t="s">
        <v>2086</v>
      </c>
      <c r="B7" s="13" t="s">
        <v>646</v>
      </c>
      <c r="C7" s="13"/>
      <c r="D7" s="13"/>
      <c r="E7" s="13" t="s">
        <v>646</v>
      </c>
      <c r="F7" s="13" t="s">
        <v>2087</v>
      </c>
      <c r="G7" s="13"/>
      <c r="H7" s="13"/>
      <c r="I7" s="13"/>
      <c r="J7" s="13"/>
      <c r="K7" s="13"/>
      <c r="L7" s="13"/>
      <c r="M7" s="13"/>
      <c r="N7" s="13" t="s">
        <v>2082</v>
      </c>
      <c r="O7" s="13"/>
      <c r="P7" s="13"/>
      <c r="Q7" s="13"/>
      <c r="R7" s="13"/>
      <c r="S7" s="13" t="s">
        <v>2088</v>
      </c>
      <c r="T7" s="13"/>
      <c r="U7" s="13"/>
      <c r="V7" s="13"/>
      <c r="W7" s="13"/>
      <c r="X7" s="13"/>
      <c r="Y7" s="13"/>
      <c r="Z7" s="13"/>
      <c r="AA7" s="17" t="s">
        <v>1566</v>
      </c>
      <c r="AB7" s="13"/>
      <c r="AC7" s="13"/>
      <c r="AD7" s="13"/>
      <c r="AE7" s="13"/>
      <c r="AF7" t="s">
        <v>2089</v>
      </c>
    </row>
    <row r="8" spans="1:32" ht="36" customHeight="1" x14ac:dyDescent="0.25">
      <c r="A8" s="14" t="s">
        <v>2090</v>
      </c>
      <c r="B8" s="13"/>
      <c r="C8" s="13"/>
      <c r="D8" s="13"/>
      <c r="E8" s="13"/>
      <c r="F8" s="13" t="s">
        <v>610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866</v>
      </c>
      <c r="AB8" s="13"/>
      <c r="AC8" s="13"/>
      <c r="AD8" s="13"/>
      <c r="AE8" s="13"/>
    </row>
    <row r="9" spans="1:32" ht="36" customHeight="1" x14ac:dyDescent="0.25">
      <c r="A9" s="14" t="s">
        <v>2091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 t="s">
        <v>648</v>
      </c>
      <c r="T9" s="13"/>
      <c r="U9" s="13"/>
      <c r="V9" s="13"/>
      <c r="W9" s="13"/>
      <c r="X9" s="13"/>
      <c r="Y9" s="13"/>
      <c r="Z9" s="13"/>
      <c r="AA9" s="17" t="s">
        <v>5833</v>
      </c>
      <c r="AB9" s="13"/>
      <c r="AC9" s="13"/>
      <c r="AD9" s="13"/>
      <c r="AE9" s="13"/>
      <c r="AF9" t="s">
        <v>2080</v>
      </c>
    </row>
    <row r="10" spans="1:32" ht="36" customHeight="1" x14ac:dyDescent="0.25">
      <c r="A10" s="14" t="s">
        <v>2092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 t="s">
        <v>1562</v>
      </c>
      <c r="T10" s="13"/>
      <c r="U10" s="13"/>
      <c r="V10" s="13"/>
      <c r="W10" s="13"/>
      <c r="X10" s="13"/>
      <c r="Y10" s="13"/>
      <c r="Z10" s="13"/>
      <c r="AA10" s="17" t="s">
        <v>5833</v>
      </c>
      <c r="AB10" s="13"/>
      <c r="AC10" s="13"/>
      <c r="AD10" s="13"/>
      <c r="AE10" s="13"/>
      <c r="AF10" t="s">
        <v>2080</v>
      </c>
    </row>
    <row r="11" spans="1:32" ht="36" customHeight="1" x14ac:dyDescent="0.25">
      <c r="A11" s="14" t="s">
        <v>2093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 t="s">
        <v>1562</v>
      </c>
      <c r="T11" s="13"/>
      <c r="U11" s="13"/>
      <c r="V11" s="13"/>
      <c r="W11" s="13"/>
      <c r="X11" s="13"/>
      <c r="Y11" s="13"/>
      <c r="Z11" s="13"/>
      <c r="AA11" s="17" t="s">
        <v>5833</v>
      </c>
      <c r="AB11" s="13"/>
      <c r="AC11" s="13"/>
      <c r="AD11" s="13"/>
      <c r="AE11" s="13"/>
      <c r="AF11" t="s">
        <v>2080</v>
      </c>
    </row>
    <row r="12" spans="1:32" ht="23.1" customHeight="1" x14ac:dyDescent="0.25">
      <c r="A12" s="15" t="s">
        <v>2094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 t="s">
        <v>5834</v>
      </c>
      <c r="AB12" s="15"/>
      <c r="AC12" s="15"/>
      <c r="AD12" s="15"/>
      <c r="AE12" s="15"/>
    </row>
    <row r="13" spans="1:32" ht="23.1" customHeight="1" x14ac:dyDescent="0.25">
      <c r="A13" s="15" t="s">
        <v>2095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</row>
    <row r="14" spans="1:32" ht="36" customHeight="1" x14ac:dyDescent="0.25">
      <c r="A14" s="14" t="s">
        <v>2096</v>
      </c>
      <c r="B14" s="13"/>
      <c r="C14" s="13"/>
      <c r="D14" s="13"/>
      <c r="E14" s="13"/>
      <c r="F14" s="13"/>
      <c r="G14" s="13"/>
      <c r="H14" s="13"/>
      <c r="I14" s="13"/>
      <c r="J14" s="13"/>
      <c r="K14" s="13" t="s">
        <v>2097</v>
      </c>
      <c r="L14" s="13"/>
      <c r="M14" s="13"/>
      <c r="N14" s="13" t="s">
        <v>2098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/>
      <c r="AB14" s="13"/>
      <c r="AC14" s="13"/>
      <c r="AD14" s="13"/>
      <c r="AE14" s="13"/>
    </row>
    <row r="15" spans="1:32" ht="36" customHeight="1" x14ac:dyDescent="0.25">
      <c r="A15" s="14" t="s">
        <v>2099</v>
      </c>
      <c r="B15" s="13"/>
      <c r="C15" s="13"/>
      <c r="D15" s="13"/>
      <c r="E15" s="13"/>
      <c r="F15" s="13"/>
      <c r="G15" s="13"/>
      <c r="H15" s="13"/>
      <c r="I15" s="13"/>
      <c r="J15" s="13"/>
      <c r="K15" s="13" t="s">
        <v>2100</v>
      </c>
      <c r="L15" s="13"/>
      <c r="M15" s="13"/>
      <c r="N15" s="13" t="s">
        <v>2101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/>
      <c r="AB15" s="13"/>
      <c r="AC15" s="13"/>
      <c r="AD15" s="13"/>
      <c r="AE15" s="13"/>
    </row>
    <row r="16" spans="1:32" ht="36" customHeight="1" x14ac:dyDescent="0.25">
      <c r="A16" s="14" t="s">
        <v>2102</v>
      </c>
      <c r="B16" s="13"/>
      <c r="C16" s="13"/>
      <c r="D16" s="13"/>
      <c r="E16" s="13"/>
      <c r="F16" s="13"/>
      <c r="G16" s="13"/>
      <c r="H16" s="13"/>
      <c r="I16" s="13"/>
      <c r="J16" s="13"/>
      <c r="K16" s="13" t="s">
        <v>2103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/>
      <c r="AB16" s="13"/>
      <c r="AC16" s="13"/>
      <c r="AD16" s="13"/>
      <c r="AE16" s="13"/>
      <c r="AF16" t="s">
        <v>2089</v>
      </c>
    </row>
    <row r="17" spans="1:32" ht="23.1" customHeight="1" x14ac:dyDescent="0.25">
      <c r="A17" s="15" t="s">
        <v>2104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B17" s="15"/>
      <c r="AC17" s="15"/>
      <c r="AD17" s="15"/>
      <c r="AE17" s="15"/>
      <c r="AF17" t="s">
        <v>2089</v>
      </c>
    </row>
    <row r="18" spans="1:32" ht="23.1" customHeight="1" x14ac:dyDescent="0.25">
      <c r="A18" s="15" t="s">
        <v>2105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  <c r="AF18" t="s">
        <v>215</v>
      </c>
    </row>
    <row r="19" spans="1:32" ht="23.1" customHeight="1" x14ac:dyDescent="0.25">
      <c r="A19" s="15" t="s">
        <v>2106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5"/>
      <c r="AC19" s="15"/>
      <c r="AD19" s="15"/>
      <c r="AE19" s="15"/>
    </row>
    <row r="20" spans="1:32" ht="36" customHeight="1" x14ac:dyDescent="0.25">
      <c r="A20" s="14" t="s">
        <v>2107</v>
      </c>
      <c r="B20" s="13"/>
      <c r="C20" s="13"/>
      <c r="D20" s="13"/>
      <c r="E20" s="13"/>
      <c r="F20" s="13"/>
      <c r="G20" s="13"/>
      <c r="H20" s="13"/>
      <c r="I20" s="13"/>
      <c r="J20" s="13"/>
      <c r="K20" s="13" t="s">
        <v>2108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/>
      <c r="AB20" s="13"/>
      <c r="AC20" s="13"/>
      <c r="AD20" s="13"/>
      <c r="AE20" s="13"/>
      <c r="AF20" t="s">
        <v>2109</v>
      </c>
    </row>
    <row r="21" spans="1:32" ht="36" customHeight="1" x14ac:dyDescent="0.25">
      <c r="A21" s="14" t="s">
        <v>2110</v>
      </c>
      <c r="B21" s="13"/>
      <c r="C21" s="13"/>
      <c r="D21" s="13"/>
      <c r="E21" s="13"/>
      <c r="F21" s="13"/>
      <c r="G21" s="13"/>
      <c r="H21" s="13"/>
      <c r="I21" s="13"/>
      <c r="J21" s="13"/>
      <c r="K21" s="13" t="s">
        <v>2111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/>
      <c r="AB21" s="13"/>
      <c r="AC21" s="13"/>
      <c r="AD21" s="13"/>
      <c r="AE21" s="13"/>
      <c r="AF21" t="s">
        <v>2109</v>
      </c>
    </row>
    <row r="22" spans="1:32" ht="23.1" customHeight="1" x14ac:dyDescent="0.25">
      <c r="A22" s="15" t="s">
        <v>2112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5"/>
      <c r="AC22" s="15"/>
      <c r="AD22" s="15"/>
      <c r="AE22" s="15"/>
      <c r="AF22" t="s">
        <v>2113</v>
      </c>
    </row>
    <row r="23" spans="1:32" ht="23.1" customHeight="1" x14ac:dyDescent="0.25">
      <c r="A23" s="15" t="s">
        <v>2114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15"/>
      <c r="AC23" s="15"/>
      <c r="AD23" s="15"/>
      <c r="AE23" s="15"/>
      <c r="AF23" t="s">
        <v>2115</v>
      </c>
    </row>
    <row r="24" spans="1:32" ht="23.1" customHeight="1" x14ac:dyDescent="0.25">
      <c r="A24" s="15" t="s">
        <v>2116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15"/>
      <c r="AC24" s="15"/>
      <c r="AD24" s="15"/>
      <c r="AE24" s="15"/>
    </row>
    <row r="25" spans="1:32" ht="36" customHeight="1" x14ac:dyDescent="0.25">
      <c r="A25" s="14" t="s">
        <v>2117</v>
      </c>
      <c r="B25" s="13" t="s">
        <v>2118</v>
      </c>
      <c r="C25" s="13"/>
      <c r="D25" s="13"/>
      <c r="E25" s="13" t="s">
        <v>2118</v>
      </c>
      <c r="F25" s="13" t="s">
        <v>2118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2119</v>
      </c>
      <c r="AB25" s="13"/>
      <c r="AC25" s="13"/>
      <c r="AD25" s="13"/>
      <c r="AE25" s="13"/>
      <c r="AF25" t="s">
        <v>2120</v>
      </c>
    </row>
    <row r="26" spans="1:32" ht="36" customHeight="1" x14ac:dyDescent="0.25">
      <c r="A26" s="14" t="s">
        <v>2121</v>
      </c>
      <c r="B26" s="13"/>
      <c r="C26" s="13"/>
      <c r="D26" s="13"/>
      <c r="E26" s="13"/>
      <c r="F26" s="13"/>
      <c r="G26" s="13" t="s">
        <v>2122</v>
      </c>
      <c r="H26" s="13"/>
      <c r="I26" s="13" t="s">
        <v>228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7" t="s">
        <v>2123</v>
      </c>
      <c r="AB26" s="13"/>
      <c r="AC26" s="13"/>
      <c r="AD26" s="13"/>
      <c r="AE26" s="13"/>
      <c r="AF26" t="s">
        <v>1975</v>
      </c>
    </row>
    <row r="27" spans="1:32" ht="36" customHeight="1" x14ac:dyDescent="0.25">
      <c r="A27" s="14" t="s">
        <v>2124</v>
      </c>
      <c r="B27" s="13" t="s">
        <v>2125</v>
      </c>
      <c r="C27" s="13"/>
      <c r="D27" s="13"/>
      <c r="E27" s="13"/>
      <c r="F27" s="13"/>
      <c r="G27" s="13" t="s">
        <v>1883</v>
      </c>
      <c r="H27" s="13"/>
      <c r="I27" s="13" t="s">
        <v>228</v>
      </c>
      <c r="J27" s="13"/>
      <c r="K27" s="13" t="s">
        <v>2126</v>
      </c>
      <c r="L27" s="13" t="s">
        <v>2127</v>
      </c>
      <c r="M27" s="13" t="s">
        <v>2128</v>
      </c>
      <c r="N27" s="13"/>
      <c r="O27" s="13"/>
      <c r="P27" s="13"/>
      <c r="Q27" s="13"/>
      <c r="R27" s="13"/>
      <c r="S27" s="13"/>
      <c r="T27" s="13"/>
      <c r="U27" s="13"/>
      <c r="V27" s="13"/>
      <c r="W27" s="13" t="s">
        <v>2129</v>
      </c>
      <c r="X27" s="13" t="s">
        <v>2130</v>
      </c>
      <c r="Y27" s="13" t="s">
        <v>2131</v>
      </c>
      <c r="Z27" s="13" t="s">
        <v>2132</v>
      </c>
      <c r="AA27" s="17" t="s">
        <v>5835</v>
      </c>
      <c r="AB27" s="13"/>
      <c r="AC27" s="13"/>
      <c r="AD27" s="13"/>
      <c r="AE27" s="13"/>
      <c r="AF27" t="s">
        <v>2133</v>
      </c>
    </row>
    <row r="28" spans="1:32" ht="36" customHeight="1" x14ac:dyDescent="0.25">
      <c r="A28" s="14" t="s">
        <v>2134</v>
      </c>
      <c r="B28" s="13" t="s">
        <v>215</v>
      </c>
      <c r="C28" s="13"/>
      <c r="D28" s="13"/>
      <c r="E28" s="13" t="s">
        <v>215</v>
      </c>
      <c r="F28" s="13" t="s">
        <v>215</v>
      </c>
      <c r="G28" s="13"/>
      <c r="H28" s="13"/>
      <c r="I28" s="13"/>
      <c r="J28" s="13"/>
      <c r="K28" s="13" t="s">
        <v>215</v>
      </c>
      <c r="L28" s="13" t="s">
        <v>215</v>
      </c>
      <c r="M28" s="13" t="s">
        <v>215</v>
      </c>
      <c r="N28" s="13" t="s">
        <v>215</v>
      </c>
      <c r="O28" s="13"/>
      <c r="P28" s="13"/>
      <c r="Q28" s="13"/>
      <c r="R28" s="13"/>
      <c r="S28" s="13" t="s">
        <v>215</v>
      </c>
      <c r="T28" s="13"/>
      <c r="U28" s="13"/>
      <c r="V28" s="13"/>
      <c r="W28" s="13"/>
      <c r="X28" s="13"/>
      <c r="Y28" s="13"/>
      <c r="Z28" s="13"/>
      <c r="AA28" s="17" t="s">
        <v>215</v>
      </c>
      <c r="AB28" s="13"/>
      <c r="AC28" s="13"/>
      <c r="AD28" s="13"/>
      <c r="AE28" s="13"/>
      <c r="AF28" t="s">
        <v>2135</v>
      </c>
    </row>
    <row r="29" spans="1:32" ht="23.1" customHeight="1" x14ac:dyDescent="0.25">
      <c r="A29" s="15" t="s">
        <v>1623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</row>
    <row r="30" spans="1:32" ht="36" customHeight="1" x14ac:dyDescent="0.25">
      <c r="A30" s="14" t="s">
        <v>2136</v>
      </c>
      <c r="B30" s="13" t="s">
        <v>2137</v>
      </c>
      <c r="C30" s="13"/>
      <c r="D30" s="13"/>
      <c r="E30" s="13" t="s">
        <v>1626</v>
      </c>
      <c r="F30" s="13" t="s">
        <v>2138</v>
      </c>
      <c r="G30" s="13"/>
      <c r="H30" s="13"/>
      <c r="I30" s="13"/>
      <c r="J30" s="13"/>
      <c r="K30" s="13" t="s">
        <v>2139</v>
      </c>
      <c r="L30" s="13"/>
      <c r="M30" s="13"/>
      <c r="N30" s="13" t="s">
        <v>1628</v>
      </c>
      <c r="O30" s="13"/>
      <c r="P30" s="13"/>
      <c r="Q30" s="13"/>
      <c r="R30" s="13"/>
      <c r="S30" s="13" t="s">
        <v>1629</v>
      </c>
      <c r="T30" s="13"/>
      <c r="U30" s="13"/>
      <c r="V30" s="13"/>
      <c r="W30" s="13"/>
      <c r="X30" s="13"/>
      <c r="Y30" s="13"/>
      <c r="Z30" s="13"/>
      <c r="AA30" s="17" t="s">
        <v>1630</v>
      </c>
      <c r="AB30" s="13"/>
      <c r="AC30" s="13"/>
      <c r="AD30" s="13"/>
      <c r="AE30" s="13"/>
      <c r="AF30" t="s">
        <v>2140</v>
      </c>
    </row>
    <row r="31" spans="1:32" ht="36" customHeight="1" x14ac:dyDescent="0.25">
      <c r="A31" s="14" t="s">
        <v>2141</v>
      </c>
      <c r="B31" s="13" t="s">
        <v>2142</v>
      </c>
      <c r="C31" s="13"/>
      <c r="D31" s="13"/>
      <c r="E31" s="13" t="s">
        <v>2143</v>
      </c>
      <c r="F31" s="13" t="s">
        <v>2144</v>
      </c>
      <c r="G31" s="13" t="s">
        <v>1030</v>
      </c>
      <c r="H31" s="13" t="s">
        <v>1031</v>
      </c>
      <c r="I31" s="13" t="s">
        <v>228</v>
      </c>
      <c r="J31" s="13" t="s">
        <v>2145</v>
      </c>
      <c r="K31" s="13" t="s">
        <v>1032</v>
      </c>
      <c r="L31" s="13" t="s">
        <v>1033</v>
      </c>
      <c r="M31" s="13" t="s">
        <v>1033</v>
      </c>
      <c r="N31" s="13" t="s">
        <v>2146</v>
      </c>
      <c r="O31" s="13"/>
      <c r="P31" s="13"/>
      <c r="Q31" s="13"/>
      <c r="R31" s="13"/>
      <c r="S31" s="13" t="s">
        <v>2147</v>
      </c>
      <c r="T31" s="13"/>
      <c r="U31" s="13" t="s">
        <v>1036</v>
      </c>
      <c r="V31" s="13"/>
      <c r="W31" s="13"/>
      <c r="X31" s="13" t="s">
        <v>1037</v>
      </c>
      <c r="Y31" s="13" t="s">
        <v>1038</v>
      </c>
      <c r="Z31" s="13" t="s">
        <v>1039</v>
      </c>
      <c r="AA31" s="17" t="s">
        <v>2148</v>
      </c>
      <c r="AB31" s="13"/>
      <c r="AC31" s="13"/>
      <c r="AD31" s="13"/>
      <c r="AE31" s="13"/>
      <c r="AF31" t="s">
        <v>2149</v>
      </c>
    </row>
    <row r="32" spans="1:32" ht="23.1" customHeight="1" x14ac:dyDescent="0.25">
      <c r="A32" s="15" t="s">
        <v>2150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5"/>
      <c r="AC32" s="15"/>
      <c r="AD32" s="15"/>
      <c r="AE32" s="15"/>
    </row>
    <row r="33" spans="1:32" ht="36" customHeight="1" x14ac:dyDescent="0.25">
      <c r="A33" s="14" t="s">
        <v>2151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 t="s">
        <v>2001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/>
      <c r="AB33" s="13"/>
      <c r="AC33" s="13"/>
      <c r="AD33" s="13"/>
      <c r="AE33" s="13"/>
      <c r="AF33" t="s">
        <v>2152</v>
      </c>
    </row>
    <row r="34" spans="1:32" ht="36" customHeight="1" x14ac:dyDescent="0.25">
      <c r="A34" s="14" t="s">
        <v>2153</v>
      </c>
      <c r="B34" s="13" t="s">
        <v>2154</v>
      </c>
      <c r="C34" s="13"/>
      <c r="D34" s="13"/>
      <c r="E34" s="13"/>
      <c r="F34" s="13"/>
      <c r="G34" s="13"/>
      <c r="H34" s="13"/>
      <c r="I34" s="13"/>
      <c r="J34" s="13"/>
      <c r="K34" s="13"/>
      <c r="L34" s="13" t="s">
        <v>2155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/>
      <c r="AB34" s="13"/>
      <c r="AC34" s="13"/>
      <c r="AD34" s="13"/>
      <c r="AE34" s="13"/>
      <c r="AF34" t="s">
        <v>2156</v>
      </c>
    </row>
    <row r="35" spans="1:32" ht="36" customHeight="1" x14ac:dyDescent="0.25">
      <c r="A35" s="14" t="s">
        <v>2157</v>
      </c>
      <c r="B35" s="13" t="s">
        <v>2158</v>
      </c>
      <c r="C35" s="13"/>
      <c r="D35" s="13"/>
      <c r="E35" s="13"/>
      <c r="F35" s="13"/>
      <c r="G35" s="13"/>
      <c r="H35" s="13"/>
      <c r="I35" s="13"/>
      <c r="J35" s="13"/>
      <c r="K35" s="13"/>
      <c r="L35" s="13" t="s">
        <v>2159</v>
      </c>
      <c r="M35" s="13" t="s">
        <v>2160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2161</v>
      </c>
      <c r="AB35" s="13"/>
      <c r="AC35" s="13"/>
      <c r="AD35" s="13"/>
      <c r="AE35" s="13"/>
      <c r="AF35" t="s">
        <v>1346</v>
      </c>
    </row>
    <row r="36" spans="1:32" ht="36" customHeight="1" x14ac:dyDescent="0.25">
      <c r="A36" s="14" t="s">
        <v>2162</v>
      </c>
      <c r="B36" s="13"/>
      <c r="C36" s="13" t="s">
        <v>2163</v>
      </c>
      <c r="D36" s="13"/>
      <c r="E36" s="13" t="s">
        <v>2163</v>
      </c>
      <c r="F36" s="13"/>
      <c r="G36" s="13"/>
      <c r="H36" s="13"/>
      <c r="I36" s="13"/>
      <c r="J36" s="13"/>
      <c r="K36" s="13"/>
      <c r="L36" s="13" t="s">
        <v>2163</v>
      </c>
      <c r="M36" s="13" t="s">
        <v>2163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/>
      <c r="AB36" s="13"/>
      <c r="AC36" s="13"/>
      <c r="AD36" s="13"/>
      <c r="AE36" s="13"/>
      <c r="AF36" t="s">
        <v>2164</v>
      </c>
    </row>
  </sheetData>
  <mergeCells count="1">
    <mergeCell ref="A1:A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24"/>
  <sheetViews>
    <sheetView workbookViewId="0">
      <pane xSplit="2" ySplit="2" topLeftCell="X9" activePane="bottomRight" state="frozen"/>
      <selection pane="topRight" activeCell="C1" sqref="C1"/>
      <selection pane="bottomLeft" activeCell="A3" sqref="A3"/>
      <selection pane="bottomRight" activeCell="AA26" sqref="AA26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Directory'!A1","Platform Model &amp; Ecosystem"),"Platform Model &amp; Ecosystem")</f>
        <v>Platform Model &amp; Ecosystem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2165</v>
      </c>
      <c r="B3" s="13" t="s">
        <v>70</v>
      </c>
      <c r="C3" s="13" t="s">
        <v>2166</v>
      </c>
      <c r="D3" s="13" t="s">
        <v>72</v>
      </c>
      <c r="E3" s="13" t="s">
        <v>73</v>
      </c>
      <c r="F3" s="13" t="s">
        <v>74</v>
      </c>
      <c r="G3" s="13" t="s">
        <v>75</v>
      </c>
      <c r="H3" s="13" t="s">
        <v>76</v>
      </c>
      <c r="I3" s="13" t="s">
        <v>77</v>
      </c>
      <c r="J3" s="13" t="s">
        <v>78</v>
      </c>
      <c r="K3" s="13" t="s">
        <v>79</v>
      </c>
      <c r="L3" s="13" t="s">
        <v>80</v>
      </c>
      <c r="M3" s="13" t="s">
        <v>81</v>
      </c>
      <c r="N3" s="13" t="s">
        <v>82</v>
      </c>
      <c r="O3" s="13" t="s">
        <v>83</v>
      </c>
      <c r="P3" s="13" t="s">
        <v>84</v>
      </c>
      <c r="Q3" s="13" t="s">
        <v>85</v>
      </c>
      <c r="R3" s="13" t="s">
        <v>86</v>
      </c>
      <c r="S3" s="13" t="s">
        <v>87</v>
      </c>
      <c r="T3" s="13" t="s">
        <v>88</v>
      </c>
      <c r="U3" s="13" t="s">
        <v>89</v>
      </c>
      <c r="V3" s="13" t="s">
        <v>90</v>
      </c>
      <c r="W3" s="13" t="s">
        <v>91</v>
      </c>
      <c r="X3" s="13" t="s">
        <v>92</v>
      </c>
      <c r="Y3" s="13" t="s">
        <v>93</v>
      </c>
      <c r="Z3" s="13" t="s">
        <v>94</v>
      </c>
      <c r="AA3" s="17" t="s">
        <v>95</v>
      </c>
      <c r="AB3" s="13" t="s">
        <v>96</v>
      </c>
      <c r="AC3" s="13" t="s">
        <v>97</v>
      </c>
      <c r="AD3" s="13" t="s">
        <v>98</v>
      </c>
      <c r="AE3" s="13" t="s">
        <v>99</v>
      </c>
      <c r="AF3" t="s">
        <v>2167</v>
      </c>
    </row>
    <row r="4" spans="1:32" ht="36" customHeight="1" x14ac:dyDescent="0.25">
      <c r="A4" s="14" t="s">
        <v>420</v>
      </c>
      <c r="B4" s="13" t="s">
        <v>421</v>
      </c>
      <c r="C4" s="13" t="s">
        <v>422</v>
      </c>
      <c r="D4" s="13" t="s">
        <v>423</v>
      </c>
      <c r="E4" s="13" t="s">
        <v>422</v>
      </c>
      <c r="F4" s="13" t="s">
        <v>424</v>
      </c>
      <c r="G4" s="13" t="s">
        <v>425</v>
      </c>
      <c r="H4" s="13" t="s">
        <v>426</v>
      </c>
      <c r="I4" s="13" t="s">
        <v>427</v>
      </c>
      <c r="J4" s="13" t="s">
        <v>428</v>
      </c>
      <c r="K4" s="13" t="s">
        <v>429</v>
      </c>
      <c r="L4" s="13" t="s">
        <v>430</v>
      </c>
      <c r="M4" s="13" t="s">
        <v>431</v>
      </c>
      <c r="N4" s="13" t="s">
        <v>432</v>
      </c>
      <c r="O4" s="13" t="s">
        <v>433</v>
      </c>
      <c r="P4" s="13" t="s">
        <v>434</v>
      </c>
      <c r="Q4" s="13" t="s">
        <v>435</v>
      </c>
      <c r="R4" s="13" t="s">
        <v>436</v>
      </c>
      <c r="S4" s="13" t="s">
        <v>437</v>
      </c>
      <c r="T4" s="13" t="s">
        <v>438</v>
      </c>
      <c r="U4" s="13" t="s">
        <v>439</v>
      </c>
      <c r="V4" s="13" t="s">
        <v>440</v>
      </c>
      <c r="W4" s="13" t="s">
        <v>441</v>
      </c>
      <c r="X4" s="13" t="s">
        <v>442</v>
      </c>
      <c r="Y4" s="13" t="s">
        <v>443</v>
      </c>
      <c r="Z4" s="13" t="s">
        <v>444</v>
      </c>
      <c r="AA4" s="17" t="s">
        <v>445</v>
      </c>
      <c r="AB4" s="13" t="s">
        <v>446</v>
      </c>
      <c r="AC4" s="13" t="s">
        <v>447</v>
      </c>
      <c r="AD4" s="13" t="s">
        <v>448</v>
      </c>
      <c r="AE4" s="13" t="s">
        <v>449</v>
      </c>
      <c r="AF4" t="s">
        <v>450</v>
      </c>
    </row>
    <row r="5" spans="1:32" ht="36" customHeight="1" x14ac:dyDescent="0.25">
      <c r="A5" s="14" t="s">
        <v>451</v>
      </c>
      <c r="B5" s="13" t="s">
        <v>452</v>
      </c>
      <c r="C5" s="13" t="s">
        <v>453</v>
      </c>
      <c r="D5" s="13" t="s">
        <v>454</v>
      </c>
      <c r="E5" s="13" t="s">
        <v>455</v>
      </c>
      <c r="F5" s="13" t="s">
        <v>456</v>
      </c>
      <c r="G5" s="13" t="s">
        <v>457</v>
      </c>
      <c r="H5" s="13" t="s">
        <v>458</v>
      </c>
      <c r="I5" s="13" t="s">
        <v>459</v>
      </c>
      <c r="J5" s="13" t="s">
        <v>460</v>
      </c>
      <c r="K5" s="13" t="s">
        <v>461</v>
      </c>
      <c r="L5" s="13" t="s">
        <v>462</v>
      </c>
      <c r="M5" s="13" t="s">
        <v>463</v>
      </c>
      <c r="N5" s="13" t="s">
        <v>464</v>
      </c>
      <c r="O5" s="13" t="s">
        <v>465</v>
      </c>
      <c r="P5" s="13" t="s">
        <v>466</v>
      </c>
      <c r="Q5" s="13" t="s">
        <v>467</v>
      </c>
      <c r="R5" s="13" t="s">
        <v>468</v>
      </c>
      <c r="S5" s="13" t="s">
        <v>469</v>
      </c>
      <c r="T5" s="13" t="s">
        <v>470</v>
      </c>
      <c r="U5" s="13" t="s">
        <v>471</v>
      </c>
      <c r="V5" s="13" t="s">
        <v>472</v>
      </c>
      <c r="W5" s="13" t="s">
        <v>473</v>
      </c>
      <c r="X5" s="13" t="s">
        <v>474</v>
      </c>
      <c r="Y5" s="13" t="s">
        <v>475</v>
      </c>
      <c r="Z5" s="13" t="s">
        <v>476</v>
      </c>
      <c r="AA5" s="17" t="s">
        <v>477</v>
      </c>
      <c r="AB5" s="13" t="s">
        <v>478</v>
      </c>
      <c r="AC5" s="13" t="s">
        <v>479</v>
      </c>
      <c r="AD5" s="13" t="s">
        <v>480</v>
      </c>
      <c r="AE5" s="13" t="s">
        <v>481</v>
      </c>
      <c r="AF5" t="s">
        <v>482</v>
      </c>
    </row>
    <row r="6" spans="1:32" ht="36" customHeight="1" x14ac:dyDescent="0.25">
      <c r="A6" s="14" t="s">
        <v>2168</v>
      </c>
      <c r="B6" s="13" t="s">
        <v>2169</v>
      </c>
      <c r="C6" s="13" t="s">
        <v>2170</v>
      </c>
      <c r="D6" s="13" t="s">
        <v>2171</v>
      </c>
      <c r="E6" s="13" t="s">
        <v>2172</v>
      </c>
      <c r="F6" s="13" t="s">
        <v>2173</v>
      </c>
      <c r="G6" s="13" t="s">
        <v>2174</v>
      </c>
      <c r="H6" s="13" t="s">
        <v>2175</v>
      </c>
      <c r="I6" s="13" t="s">
        <v>2176</v>
      </c>
      <c r="J6" s="13" t="s">
        <v>2177</v>
      </c>
      <c r="K6" s="13" t="s">
        <v>2178</v>
      </c>
      <c r="L6" s="13" t="s">
        <v>2179</v>
      </c>
      <c r="M6" s="13" t="s">
        <v>2180</v>
      </c>
      <c r="N6" s="13" t="s">
        <v>2181</v>
      </c>
      <c r="O6" s="13" t="s">
        <v>2182</v>
      </c>
      <c r="P6" s="13" t="s">
        <v>2183</v>
      </c>
      <c r="Q6" s="13"/>
      <c r="R6" s="13"/>
      <c r="S6" s="13"/>
      <c r="T6" s="13" t="s">
        <v>2184</v>
      </c>
      <c r="U6" s="13" t="s">
        <v>2184</v>
      </c>
      <c r="V6" s="13" t="s">
        <v>2185</v>
      </c>
      <c r="W6" s="13"/>
      <c r="X6" s="13" t="s">
        <v>2186</v>
      </c>
      <c r="Y6" s="13"/>
      <c r="Z6" s="13" t="s">
        <v>2187</v>
      </c>
      <c r="AA6" s="17" t="s">
        <v>2173</v>
      </c>
      <c r="AB6" s="13" t="s">
        <v>2188</v>
      </c>
      <c r="AC6" s="13" t="s">
        <v>2184</v>
      </c>
      <c r="AD6" s="13" t="s">
        <v>2189</v>
      </c>
      <c r="AE6" s="13" t="s">
        <v>2184</v>
      </c>
    </row>
    <row r="7" spans="1:32" ht="36" customHeight="1" x14ac:dyDescent="0.25">
      <c r="A7" s="14" t="s">
        <v>483</v>
      </c>
      <c r="B7" s="13" t="s">
        <v>225</v>
      </c>
      <c r="C7" s="13" t="s">
        <v>484</v>
      </c>
      <c r="D7" s="13" t="s">
        <v>225</v>
      </c>
      <c r="E7" s="13" t="s">
        <v>485</v>
      </c>
      <c r="F7" s="13" t="s">
        <v>225</v>
      </c>
      <c r="G7" s="13" t="s">
        <v>486</v>
      </c>
      <c r="H7" s="13" t="s">
        <v>487</v>
      </c>
      <c r="I7" s="13" t="s">
        <v>488</v>
      </c>
      <c r="J7" s="13" t="s">
        <v>485</v>
      </c>
      <c r="K7" s="13" t="s">
        <v>485</v>
      </c>
      <c r="L7" s="13" t="s">
        <v>485</v>
      </c>
      <c r="M7" s="13" t="s">
        <v>485</v>
      </c>
      <c r="N7" s="13" t="s">
        <v>225</v>
      </c>
      <c r="O7" s="13" t="s">
        <v>485</v>
      </c>
      <c r="P7" s="13" t="s">
        <v>225</v>
      </c>
      <c r="Q7" s="13"/>
      <c r="R7" s="13"/>
      <c r="S7" s="13"/>
      <c r="T7" s="13" t="s">
        <v>225</v>
      </c>
      <c r="U7" s="13" t="s">
        <v>225</v>
      </c>
      <c r="V7" s="13" t="s">
        <v>489</v>
      </c>
      <c r="W7" s="13" t="s">
        <v>266</v>
      </c>
      <c r="X7" s="13" t="s">
        <v>266</v>
      </c>
      <c r="Y7" s="13" t="s">
        <v>490</v>
      </c>
      <c r="Z7" s="13" t="s">
        <v>491</v>
      </c>
      <c r="AA7" s="17" t="s">
        <v>225</v>
      </c>
      <c r="AB7" s="13" t="s">
        <v>485</v>
      </c>
      <c r="AC7" s="13" t="s">
        <v>225</v>
      </c>
      <c r="AD7" s="13" t="s">
        <v>266</v>
      </c>
      <c r="AE7" s="13" t="s">
        <v>225</v>
      </c>
      <c r="AF7" t="s">
        <v>492</v>
      </c>
    </row>
    <row r="8" spans="1:32" ht="36" customHeight="1" x14ac:dyDescent="0.25">
      <c r="A8" s="14" t="s">
        <v>2190</v>
      </c>
      <c r="B8" s="13" t="s">
        <v>70</v>
      </c>
      <c r="C8" s="13" t="s">
        <v>2191</v>
      </c>
      <c r="D8" s="13" t="s">
        <v>72</v>
      </c>
      <c r="E8" s="13" t="s">
        <v>2192</v>
      </c>
      <c r="F8" s="13" t="s">
        <v>74</v>
      </c>
      <c r="G8" s="13" t="s">
        <v>2193</v>
      </c>
      <c r="H8" s="13" t="s">
        <v>2194</v>
      </c>
      <c r="I8" s="13" t="s">
        <v>2195</v>
      </c>
      <c r="J8" s="13" t="s">
        <v>2196</v>
      </c>
      <c r="K8" s="13" t="s">
        <v>2197</v>
      </c>
      <c r="L8" s="13" t="s">
        <v>2198</v>
      </c>
      <c r="M8" s="13" t="s">
        <v>2199</v>
      </c>
      <c r="N8" s="13" t="s">
        <v>2200</v>
      </c>
      <c r="O8" s="13" t="s">
        <v>2201</v>
      </c>
      <c r="P8" s="13" t="s">
        <v>84</v>
      </c>
      <c r="Q8" s="13"/>
      <c r="R8" s="13" t="s">
        <v>2202</v>
      </c>
      <c r="S8" s="13" t="s">
        <v>2203</v>
      </c>
      <c r="T8" s="13" t="s">
        <v>88</v>
      </c>
      <c r="U8" s="13" t="s">
        <v>2204</v>
      </c>
      <c r="V8" s="13" t="s">
        <v>2205</v>
      </c>
      <c r="W8" s="13" t="s">
        <v>2206</v>
      </c>
      <c r="X8" s="13" t="s">
        <v>2207</v>
      </c>
      <c r="Y8" s="13" t="s">
        <v>2208</v>
      </c>
      <c r="Z8" s="13" t="s">
        <v>2209</v>
      </c>
      <c r="AA8" s="17" t="s">
        <v>95</v>
      </c>
      <c r="AB8" s="13" t="s">
        <v>2210</v>
      </c>
      <c r="AC8" s="13" t="s">
        <v>97</v>
      </c>
      <c r="AD8" s="13" t="s">
        <v>2211</v>
      </c>
      <c r="AE8" s="13" t="s">
        <v>99</v>
      </c>
      <c r="AF8" t="s">
        <v>2212</v>
      </c>
    </row>
    <row r="9" spans="1:32" ht="36" customHeight="1" x14ac:dyDescent="0.25">
      <c r="A9" s="14" t="s">
        <v>2213</v>
      </c>
      <c r="B9" s="13" t="s">
        <v>2214</v>
      </c>
      <c r="C9" s="13" t="s">
        <v>2215</v>
      </c>
      <c r="D9" s="13" t="s">
        <v>2216</v>
      </c>
      <c r="E9" s="13" t="s">
        <v>2217</v>
      </c>
      <c r="F9" s="13" t="s">
        <v>2218</v>
      </c>
      <c r="G9" s="13" t="s">
        <v>2219</v>
      </c>
      <c r="H9" s="13" t="s">
        <v>2220</v>
      </c>
      <c r="I9" s="13" t="s">
        <v>2221</v>
      </c>
      <c r="J9" s="13" t="s">
        <v>2222</v>
      </c>
      <c r="K9" s="13" t="s">
        <v>2223</v>
      </c>
      <c r="L9" s="13" t="s">
        <v>2224</v>
      </c>
      <c r="M9" s="13" t="s">
        <v>2225</v>
      </c>
      <c r="N9" s="13" t="s">
        <v>2226</v>
      </c>
      <c r="O9" s="13" t="s">
        <v>2227</v>
      </c>
      <c r="P9" s="13" t="s">
        <v>2228</v>
      </c>
      <c r="Q9" s="13" t="s">
        <v>2229</v>
      </c>
      <c r="R9" s="13" t="s">
        <v>2230</v>
      </c>
      <c r="S9" s="13" t="s">
        <v>2231</v>
      </c>
      <c r="T9" s="13" t="s">
        <v>2232</v>
      </c>
      <c r="U9" s="13" t="s">
        <v>2233</v>
      </c>
      <c r="V9" s="13" t="s">
        <v>2234</v>
      </c>
      <c r="W9" s="13" t="s">
        <v>2235</v>
      </c>
      <c r="X9" s="13" t="s">
        <v>2236</v>
      </c>
      <c r="Y9" s="13" t="s">
        <v>2237</v>
      </c>
      <c r="Z9" s="13" t="s">
        <v>2238</v>
      </c>
      <c r="AA9" s="17" t="s">
        <v>2239</v>
      </c>
      <c r="AB9" s="13" t="s">
        <v>2240</v>
      </c>
      <c r="AC9" s="13" t="s">
        <v>2241</v>
      </c>
      <c r="AD9" s="13" t="s">
        <v>2242</v>
      </c>
      <c r="AE9" s="13" t="s">
        <v>2243</v>
      </c>
      <c r="AF9" t="s">
        <v>2244</v>
      </c>
    </row>
    <row r="10" spans="1:32" ht="36" customHeight="1" x14ac:dyDescent="0.25">
      <c r="A10" s="14" t="s">
        <v>2245</v>
      </c>
      <c r="B10" s="13" t="s">
        <v>2246</v>
      </c>
      <c r="C10" s="13" t="s">
        <v>215</v>
      </c>
      <c r="D10" s="13" t="s">
        <v>215</v>
      </c>
      <c r="E10" s="13" t="s">
        <v>215</v>
      </c>
      <c r="F10" s="13" t="s">
        <v>215</v>
      </c>
      <c r="G10" s="13" t="s">
        <v>2247</v>
      </c>
      <c r="H10" s="13" t="s">
        <v>2248</v>
      </c>
      <c r="I10" s="13" t="s">
        <v>2249</v>
      </c>
      <c r="J10" s="13" t="s">
        <v>2250</v>
      </c>
      <c r="K10" s="13" t="s">
        <v>2251</v>
      </c>
      <c r="L10" s="13" t="s">
        <v>2252</v>
      </c>
      <c r="M10" s="13" t="s">
        <v>215</v>
      </c>
      <c r="N10" s="13" t="s">
        <v>215</v>
      </c>
      <c r="O10" s="13" t="s">
        <v>215</v>
      </c>
      <c r="P10" s="13" t="s">
        <v>215</v>
      </c>
      <c r="Q10" s="13" t="s">
        <v>215</v>
      </c>
      <c r="R10" s="13" t="s">
        <v>215</v>
      </c>
      <c r="S10" s="13" t="s">
        <v>215</v>
      </c>
      <c r="T10" s="13" t="s">
        <v>215</v>
      </c>
      <c r="U10" s="13" t="s">
        <v>2253</v>
      </c>
      <c r="V10" s="13" t="s">
        <v>2254</v>
      </c>
      <c r="W10" s="13" t="s">
        <v>2255</v>
      </c>
      <c r="X10" s="13" t="s">
        <v>2256</v>
      </c>
      <c r="Y10" s="13" t="s">
        <v>2257</v>
      </c>
      <c r="Z10" s="13" t="s">
        <v>2258</v>
      </c>
      <c r="AA10" s="17" t="s">
        <v>215</v>
      </c>
      <c r="AB10" s="13" t="s">
        <v>2259</v>
      </c>
      <c r="AC10" s="13" t="s">
        <v>215</v>
      </c>
      <c r="AD10" s="13" t="s">
        <v>215</v>
      </c>
      <c r="AE10" s="13" t="s">
        <v>215</v>
      </c>
      <c r="AF10" t="s">
        <v>2260</v>
      </c>
    </row>
    <row r="11" spans="1:32" ht="36" customHeight="1" x14ac:dyDescent="0.25">
      <c r="A11" s="14" t="s">
        <v>493</v>
      </c>
      <c r="B11" s="13" t="s">
        <v>225</v>
      </c>
      <c r="C11" s="13" t="s">
        <v>215</v>
      </c>
      <c r="D11" s="13" t="s">
        <v>494</v>
      </c>
      <c r="E11" s="13" t="s">
        <v>215</v>
      </c>
      <c r="F11" s="13" t="s">
        <v>225</v>
      </c>
      <c r="G11" s="13" t="s">
        <v>215</v>
      </c>
      <c r="H11" s="13" t="s">
        <v>215</v>
      </c>
      <c r="I11" s="13" t="s">
        <v>215</v>
      </c>
      <c r="J11" s="13" t="s">
        <v>215</v>
      </c>
      <c r="K11" s="13" t="s">
        <v>215</v>
      </c>
      <c r="L11" s="13" t="s">
        <v>215</v>
      </c>
      <c r="M11" s="13" t="s">
        <v>215</v>
      </c>
      <c r="N11" s="13" t="s">
        <v>215</v>
      </c>
      <c r="O11" s="13" t="s">
        <v>495</v>
      </c>
      <c r="P11" s="13" t="s">
        <v>225</v>
      </c>
      <c r="Q11" s="13" t="s">
        <v>215</v>
      </c>
      <c r="R11" s="13" t="s">
        <v>496</v>
      </c>
      <c r="S11" s="13"/>
      <c r="T11" s="13" t="s">
        <v>225</v>
      </c>
      <c r="U11" s="13" t="s">
        <v>215</v>
      </c>
      <c r="V11" s="13" t="s">
        <v>215</v>
      </c>
      <c r="W11" s="13" t="s">
        <v>497</v>
      </c>
      <c r="X11" s="13" t="s">
        <v>498</v>
      </c>
      <c r="Y11" s="13" t="s">
        <v>215</v>
      </c>
      <c r="Z11" s="13" t="s">
        <v>215</v>
      </c>
      <c r="AA11" s="17" t="s">
        <v>225</v>
      </c>
      <c r="AB11" s="13" t="s">
        <v>215</v>
      </c>
      <c r="AC11" s="13" t="s">
        <v>225</v>
      </c>
      <c r="AD11" s="13" t="s">
        <v>215</v>
      </c>
      <c r="AE11" s="13" t="s">
        <v>225</v>
      </c>
      <c r="AF11" t="s">
        <v>215</v>
      </c>
    </row>
    <row r="12" spans="1:32" ht="36" customHeight="1" x14ac:dyDescent="0.25">
      <c r="A12" s="14" t="s">
        <v>2261</v>
      </c>
      <c r="B12" s="13" t="s">
        <v>225</v>
      </c>
      <c r="C12" s="13" t="s">
        <v>215</v>
      </c>
      <c r="D12" s="13" t="s">
        <v>225</v>
      </c>
      <c r="E12" s="13" t="s">
        <v>215</v>
      </c>
      <c r="F12" s="13" t="s">
        <v>225</v>
      </c>
      <c r="G12" s="13" t="s">
        <v>215</v>
      </c>
      <c r="H12" s="13" t="s">
        <v>215</v>
      </c>
      <c r="I12" s="13" t="s">
        <v>215</v>
      </c>
      <c r="J12" s="13" t="s">
        <v>215</v>
      </c>
      <c r="K12" s="13" t="s">
        <v>215</v>
      </c>
      <c r="L12" s="13" t="s">
        <v>215</v>
      </c>
      <c r="M12" s="13" t="s">
        <v>215</v>
      </c>
      <c r="N12" s="13" t="s">
        <v>215</v>
      </c>
      <c r="O12" s="13" t="s">
        <v>2262</v>
      </c>
      <c r="P12" s="13" t="s">
        <v>225</v>
      </c>
      <c r="Q12" s="13" t="s">
        <v>215</v>
      </c>
      <c r="R12" s="13" t="s">
        <v>496</v>
      </c>
      <c r="S12" s="13"/>
      <c r="T12" s="13" t="s">
        <v>225</v>
      </c>
      <c r="U12" s="13" t="s">
        <v>215</v>
      </c>
      <c r="V12" s="13" t="s">
        <v>215</v>
      </c>
      <c r="W12" s="13" t="s">
        <v>2263</v>
      </c>
      <c r="X12" s="13" t="s">
        <v>215</v>
      </c>
      <c r="Y12" s="13" t="s">
        <v>215</v>
      </c>
      <c r="Z12" s="13" t="s">
        <v>215</v>
      </c>
      <c r="AA12" s="17" t="s">
        <v>225</v>
      </c>
      <c r="AB12" s="13" t="s">
        <v>215</v>
      </c>
      <c r="AC12" s="13" t="s">
        <v>225</v>
      </c>
      <c r="AD12" s="13" t="s">
        <v>215</v>
      </c>
      <c r="AE12" s="13" t="s">
        <v>225</v>
      </c>
      <c r="AF12" t="s">
        <v>215</v>
      </c>
    </row>
    <row r="13" spans="1:32" ht="36" customHeight="1" x14ac:dyDescent="0.25">
      <c r="A13" s="14" t="s">
        <v>499</v>
      </c>
      <c r="B13" s="13" t="s">
        <v>225</v>
      </c>
      <c r="C13" s="13" t="s">
        <v>225</v>
      </c>
      <c r="D13" s="13" t="s">
        <v>225</v>
      </c>
      <c r="E13" s="13" t="s">
        <v>500</v>
      </c>
      <c r="F13" s="13" t="s">
        <v>225</v>
      </c>
      <c r="G13" s="13" t="s">
        <v>501</v>
      </c>
      <c r="H13" s="13" t="s">
        <v>225</v>
      </c>
      <c r="I13" s="13" t="s">
        <v>225</v>
      </c>
      <c r="J13" s="13" t="s">
        <v>225</v>
      </c>
      <c r="K13" s="13" t="s">
        <v>225</v>
      </c>
      <c r="L13" s="13" t="s">
        <v>502</v>
      </c>
      <c r="M13" s="13" t="s">
        <v>503</v>
      </c>
      <c r="N13" s="13" t="s">
        <v>504</v>
      </c>
      <c r="O13" s="13" t="s">
        <v>225</v>
      </c>
      <c r="P13" s="13" t="s">
        <v>225</v>
      </c>
      <c r="Q13" s="13" t="s">
        <v>505</v>
      </c>
      <c r="R13" s="13" t="s">
        <v>506</v>
      </c>
      <c r="S13" s="13" t="s">
        <v>504</v>
      </c>
      <c r="T13" s="13" t="s">
        <v>225</v>
      </c>
      <c r="U13" s="13" t="s">
        <v>225</v>
      </c>
      <c r="V13" s="13" t="s">
        <v>507</v>
      </c>
      <c r="W13" s="13" t="s">
        <v>508</v>
      </c>
      <c r="X13" s="13" t="s">
        <v>509</v>
      </c>
      <c r="Y13" s="13" t="s">
        <v>510</v>
      </c>
      <c r="Z13" s="13" t="s">
        <v>511</v>
      </c>
      <c r="AA13" s="17" t="s">
        <v>225</v>
      </c>
      <c r="AB13" s="13" t="s">
        <v>512</v>
      </c>
      <c r="AC13" s="13" t="s">
        <v>225</v>
      </c>
      <c r="AD13" s="13" t="s">
        <v>513</v>
      </c>
      <c r="AE13" s="13" t="s">
        <v>225</v>
      </c>
      <c r="AF13" t="s">
        <v>514</v>
      </c>
    </row>
    <row r="14" spans="1:32" ht="36" customHeight="1" x14ac:dyDescent="0.25">
      <c r="A14" s="14" t="s">
        <v>2264</v>
      </c>
      <c r="B14" s="13" t="s">
        <v>225</v>
      </c>
      <c r="C14" s="13" t="s">
        <v>225</v>
      </c>
      <c r="D14" s="13" t="s">
        <v>225</v>
      </c>
      <c r="E14" s="13" t="s">
        <v>2265</v>
      </c>
      <c r="F14" s="13" t="s">
        <v>225</v>
      </c>
      <c r="G14" s="13" t="s">
        <v>2266</v>
      </c>
      <c r="H14" s="13" t="s">
        <v>225</v>
      </c>
      <c r="I14" s="13" t="s">
        <v>225</v>
      </c>
      <c r="J14" s="13" t="s">
        <v>225</v>
      </c>
      <c r="K14" s="13" t="s">
        <v>225</v>
      </c>
      <c r="L14" s="13" t="s">
        <v>225</v>
      </c>
      <c r="M14" s="13" t="s">
        <v>2267</v>
      </c>
      <c r="N14" s="13" t="s">
        <v>225</v>
      </c>
      <c r="O14" s="13" t="s">
        <v>225</v>
      </c>
      <c r="P14" s="13" t="s">
        <v>225</v>
      </c>
      <c r="Q14" s="13" t="s">
        <v>2268</v>
      </c>
      <c r="R14" s="13" t="s">
        <v>2269</v>
      </c>
      <c r="S14" s="13" t="s">
        <v>225</v>
      </c>
      <c r="T14" s="13" t="s">
        <v>225</v>
      </c>
      <c r="U14" s="13" t="s">
        <v>225</v>
      </c>
      <c r="V14" s="13" t="s">
        <v>2269</v>
      </c>
      <c r="W14" s="13" t="s">
        <v>2270</v>
      </c>
      <c r="X14" s="13" t="s">
        <v>2271</v>
      </c>
      <c r="Y14" s="13" t="s">
        <v>2272</v>
      </c>
      <c r="Z14" s="13" t="s">
        <v>2273</v>
      </c>
      <c r="AA14" s="17" t="s">
        <v>225</v>
      </c>
      <c r="AB14" s="13" t="s">
        <v>225</v>
      </c>
      <c r="AC14" s="13" t="s">
        <v>225</v>
      </c>
      <c r="AD14" s="13" t="s">
        <v>2274</v>
      </c>
      <c r="AE14" s="13" t="s">
        <v>225</v>
      </c>
      <c r="AF14" t="s">
        <v>2275</v>
      </c>
    </row>
    <row r="15" spans="1:32" ht="36" customHeight="1" x14ac:dyDescent="0.25">
      <c r="A15" s="14" t="s">
        <v>2276</v>
      </c>
      <c r="B15" s="13" t="s">
        <v>225</v>
      </c>
      <c r="C15" s="13" t="s">
        <v>2277</v>
      </c>
      <c r="D15" s="13" t="s">
        <v>225</v>
      </c>
      <c r="E15" s="13" t="s">
        <v>2278</v>
      </c>
      <c r="F15" s="13" t="s">
        <v>225</v>
      </c>
      <c r="G15" s="13" t="s">
        <v>2279</v>
      </c>
      <c r="H15" s="13" t="s">
        <v>225</v>
      </c>
      <c r="I15" s="13" t="s">
        <v>2280</v>
      </c>
      <c r="J15" s="13" t="s">
        <v>2281</v>
      </c>
      <c r="K15" s="13" t="s">
        <v>2282</v>
      </c>
      <c r="L15" s="13" t="s">
        <v>225</v>
      </c>
      <c r="M15" s="13" t="s">
        <v>2283</v>
      </c>
      <c r="N15" s="13" t="s">
        <v>225</v>
      </c>
      <c r="O15" s="13" t="s">
        <v>225</v>
      </c>
      <c r="P15" s="13" t="s">
        <v>225</v>
      </c>
      <c r="Q15" s="13"/>
      <c r="R15" s="13" t="s">
        <v>2269</v>
      </c>
      <c r="S15" s="13" t="s">
        <v>225</v>
      </c>
      <c r="T15" s="13" t="s">
        <v>225</v>
      </c>
      <c r="U15" s="13" t="s">
        <v>225</v>
      </c>
      <c r="V15" s="13" t="s">
        <v>2269</v>
      </c>
      <c r="W15" s="13" t="s">
        <v>2284</v>
      </c>
      <c r="X15" s="13" t="s">
        <v>2285</v>
      </c>
      <c r="Y15" s="13" t="s">
        <v>2286</v>
      </c>
      <c r="Z15" s="13" t="s">
        <v>2287</v>
      </c>
      <c r="AA15" s="17" t="s">
        <v>225</v>
      </c>
      <c r="AB15" s="13" t="s">
        <v>225</v>
      </c>
      <c r="AC15" s="13" t="s">
        <v>225</v>
      </c>
      <c r="AD15" s="13" t="s">
        <v>2288</v>
      </c>
      <c r="AE15" s="13" t="s">
        <v>225</v>
      </c>
      <c r="AF15" t="s">
        <v>2289</v>
      </c>
    </row>
    <row r="16" spans="1:32" ht="36" customHeight="1" x14ac:dyDescent="0.25">
      <c r="A16" s="14" t="s">
        <v>515</v>
      </c>
      <c r="B16" s="13" t="s">
        <v>516</v>
      </c>
      <c r="C16" s="13" t="s">
        <v>517</v>
      </c>
      <c r="D16" s="13" t="s">
        <v>518</v>
      </c>
      <c r="E16" s="13" t="s">
        <v>519</v>
      </c>
      <c r="F16" s="13" t="s">
        <v>520</v>
      </c>
      <c r="G16" s="13" t="s">
        <v>521</v>
      </c>
      <c r="H16" s="13" t="s">
        <v>522</v>
      </c>
      <c r="I16" s="13" t="s">
        <v>523</v>
      </c>
      <c r="J16" s="13" t="s">
        <v>524</v>
      </c>
      <c r="K16" s="13" t="s">
        <v>525</v>
      </c>
      <c r="L16" s="13" t="s">
        <v>526</v>
      </c>
      <c r="M16" s="13" t="s">
        <v>527</v>
      </c>
      <c r="N16" s="13" t="s">
        <v>528</v>
      </c>
      <c r="O16" s="13" t="s">
        <v>529</v>
      </c>
      <c r="P16" s="13" t="s">
        <v>530</v>
      </c>
      <c r="Q16" s="13" t="s">
        <v>531</v>
      </c>
      <c r="R16" s="13" t="s">
        <v>532</v>
      </c>
      <c r="S16" s="13" t="s">
        <v>533</v>
      </c>
      <c r="T16" s="13" t="s">
        <v>534</v>
      </c>
      <c r="U16" s="13"/>
      <c r="V16" s="13" t="s">
        <v>535</v>
      </c>
      <c r="W16" s="13" t="s">
        <v>536</v>
      </c>
      <c r="X16" s="13" t="s">
        <v>537</v>
      </c>
      <c r="Y16" s="13" t="s">
        <v>538</v>
      </c>
      <c r="Z16" s="13" t="s">
        <v>539</v>
      </c>
      <c r="AA16" s="17" t="s">
        <v>534</v>
      </c>
      <c r="AB16" s="13" t="s">
        <v>540</v>
      </c>
      <c r="AC16" s="13" t="s">
        <v>534</v>
      </c>
      <c r="AD16" s="13" t="s">
        <v>541</v>
      </c>
      <c r="AE16" s="13" t="s">
        <v>542</v>
      </c>
      <c r="AF16" t="s">
        <v>543</v>
      </c>
    </row>
    <row r="17" spans="1:32" ht="36" customHeight="1" x14ac:dyDescent="0.25">
      <c r="A17" s="14" t="s">
        <v>2290</v>
      </c>
      <c r="B17" s="13" t="s">
        <v>225</v>
      </c>
      <c r="C17" s="13" t="s">
        <v>225</v>
      </c>
      <c r="D17" s="13" t="s">
        <v>225</v>
      </c>
      <c r="E17" s="13" t="s">
        <v>2291</v>
      </c>
      <c r="F17" s="13" t="s">
        <v>225</v>
      </c>
      <c r="G17" s="13" t="s">
        <v>225</v>
      </c>
      <c r="H17" s="13" t="s">
        <v>2292</v>
      </c>
      <c r="I17" s="13" t="s">
        <v>225</v>
      </c>
      <c r="J17" s="13" t="s">
        <v>225</v>
      </c>
      <c r="K17" s="13" t="s">
        <v>225</v>
      </c>
      <c r="L17" s="13" t="s">
        <v>225</v>
      </c>
      <c r="M17" s="13" t="s">
        <v>225</v>
      </c>
      <c r="N17" s="13" t="s">
        <v>225</v>
      </c>
      <c r="O17" s="13" t="s">
        <v>225</v>
      </c>
      <c r="P17" s="13" t="s">
        <v>225</v>
      </c>
      <c r="Q17" s="13" t="s">
        <v>2293</v>
      </c>
      <c r="R17" s="13" t="s">
        <v>225</v>
      </c>
      <c r="S17" s="13" t="s">
        <v>225</v>
      </c>
      <c r="T17" s="13" t="s">
        <v>225</v>
      </c>
      <c r="U17" s="13" t="s">
        <v>225</v>
      </c>
      <c r="V17" s="13" t="s">
        <v>215</v>
      </c>
      <c r="W17" s="13" t="s">
        <v>225</v>
      </c>
      <c r="X17" s="13" t="s">
        <v>225</v>
      </c>
      <c r="Y17" s="13" t="s">
        <v>225</v>
      </c>
      <c r="Z17" s="13" t="s">
        <v>225</v>
      </c>
      <c r="AA17" s="17" t="s">
        <v>225</v>
      </c>
      <c r="AB17" s="13" t="s">
        <v>225</v>
      </c>
      <c r="AC17" s="13" t="s">
        <v>225</v>
      </c>
      <c r="AD17" s="13" t="s">
        <v>225</v>
      </c>
      <c r="AE17" s="13" t="s">
        <v>225</v>
      </c>
      <c r="AF17" t="s">
        <v>225</v>
      </c>
    </row>
    <row r="18" spans="1:32" ht="36" customHeight="1" x14ac:dyDescent="0.25">
      <c r="A18" s="14" t="s">
        <v>544</v>
      </c>
      <c r="B18" s="13" t="s">
        <v>545</v>
      </c>
      <c r="C18" s="13" t="s">
        <v>546</v>
      </c>
      <c r="D18" s="13" t="s">
        <v>547</v>
      </c>
      <c r="E18" s="13" t="s">
        <v>548</v>
      </c>
      <c r="F18" s="13" t="s">
        <v>549</v>
      </c>
      <c r="G18" s="13" t="s">
        <v>550</v>
      </c>
      <c r="H18" s="13" t="s">
        <v>551</v>
      </c>
      <c r="I18" s="13" t="s">
        <v>552</v>
      </c>
      <c r="J18" s="13" t="s">
        <v>553</v>
      </c>
      <c r="K18" s="13" t="s">
        <v>554</v>
      </c>
      <c r="L18" s="13" t="s">
        <v>555</v>
      </c>
      <c r="M18" s="13" t="s">
        <v>556</v>
      </c>
      <c r="N18" s="13" t="s">
        <v>557</v>
      </c>
      <c r="O18" s="13" t="s">
        <v>558</v>
      </c>
      <c r="P18" s="13" t="s">
        <v>559</v>
      </c>
      <c r="Q18" s="13"/>
      <c r="R18" s="13" t="s">
        <v>560</v>
      </c>
      <c r="S18" s="13" t="s">
        <v>561</v>
      </c>
      <c r="T18" s="13" t="s">
        <v>557</v>
      </c>
      <c r="U18" s="13"/>
      <c r="V18" s="13" t="s">
        <v>562</v>
      </c>
      <c r="W18" s="13" t="s">
        <v>563</v>
      </c>
      <c r="X18" s="13" t="s">
        <v>562</v>
      </c>
      <c r="Y18" s="13" t="s">
        <v>562</v>
      </c>
      <c r="Z18" s="13" t="s">
        <v>564</v>
      </c>
      <c r="AA18" s="17" t="s">
        <v>557</v>
      </c>
      <c r="AB18" s="13" t="s">
        <v>565</v>
      </c>
      <c r="AC18" s="13" t="s">
        <v>566</v>
      </c>
      <c r="AD18" s="13" t="s">
        <v>567</v>
      </c>
      <c r="AE18" s="13" t="s">
        <v>568</v>
      </c>
      <c r="AF18" t="s">
        <v>569</v>
      </c>
    </row>
    <row r="19" spans="1:32" ht="36" customHeight="1" x14ac:dyDescent="0.25">
      <c r="A19" s="14" t="s">
        <v>2294</v>
      </c>
      <c r="B19" s="13" t="s">
        <v>2295</v>
      </c>
      <c r="C19" s="13" t="s">
        <v>2296</v>
      </c>
      <c r="D19" s="13" t="s">
        <v>2297</v>
      </c>
      <c r="E19" s="13" t="s">
        <v>2298</v>
      </c>
      <c r="F19" s="13" t="s">
        <v>2299</v>
      </c>
      <c r="G19" s="13" t="s">
        <v>2300</v>
      </c>
      <c r="H19" s="13" t="s">
        <v>2301</v>
      </c>
      <c r="I19" s="13" t="s">
        <v>2302</v>
      </c>
      <c r="J19" s="13" t="s">
        <v>2303</v>
      </c>
      <c r="K19" s="13" t="s">
        <v>2304</v>
      </c>
      <c r="L19" s="13" t="s">
        <v>2305</v>
      </c>
      <c r="M19" s="13" t="s">
        <v>2306</v>
      </c>
      <c r="N19" s="13" t="s">
        <v>2307</v>
      </c>
      <c r="O19" s="13" t="s">
        <v>2308</v>
      </c>
      <c r="P19" s="13" t="s">
        <v>2309</v>
      </c>
      <c r="Q19" s="13" t="s">
        <v>2310</v>
      </c>
      <c r="R19" s="13" t="s">
        <v>2311</v>
      </c>
      <c r="S19" s="13" t="s">
        <v>2312</v>
      </c>
      <c r="T19" s="13" t="s">
        <v>2313</v>
      </c>
      <c r="U19" s="13" t="s">
        <v>2314</v>
      </c>
      <c r="V19" s="13" t="s">
        <v>2315</v>
      </c>
      <c r="W19" s="13" t="s">
        <v>2316</v>
      </c>
      <c r="X19" s="13" t="s">
        <v>2317</v>
      </c>
      <c r="Y19" s="13" t="s">
        <v>1101</v>
      </c>
      <c r="Z19" s="13" t="s">
        <v>2318</v>
      </c>
      <c r="AA19" s="17" t="s">
        <v>2319</v>
      </c>
      <c r="AB19" s="13" t="s">
        <v>2320</v>
      </c>
      <c r="AC19" s="13" t="s">
        <v>2321</v>
      </c>
      <c r="AD19" s="13" t="s">
        <v>2322</v>
      </c>
      <c r="AE19" s="13" t="s">
        <v>1101</v>
      </c>
      <c r="AF19" t="s">
        <v>2323</v>
      </c>
    </row>
    <row r="20" spans="1:32" ht="36" customHeight="1" x14ac:dyDescent="0.25">
      <c r="A20" s="14" t="s">
        <v>570</v>
      </c>
      <c r="B20" s="13" t="s">
        <v>571</v>
      </c>
      <c r="C20" s="13" t="s">
        <v>572</v>
      </c>
      <c r="D20" s="13" t="s">
        <v>573</v>
      </c>
      <c r="E20" s="13" t="s">
        <v>574</v>
      </c>
      <c r="F20" s="13" t="s">
        <v>575</v>
      </c>
      <c r="G20" s="13" t="s">
        <v>576</v>
      </c>
      <c r="H20" s="13" t="s">
        <v>577</v>
      </c>
      <c r="I20" s="13" t="s">
        <v>578</v>
      </c>
      <c r="J20" s="13" t="s">
        <v>579</v>
      </c>
      <c r="K20" s="13" t="s">
        <v>580</v>
      </c>
      <c r="L20" s="13" t="s">
        <v>581</v>
      </c>
      <c r="M20" s="13" t="s">
        <v>582</v>
      </c>
      <c r="N20" s="13" t="s">
        <v>583</v>
      </c>
      <c r="O20" s="13" t="s">
        <v>584</v>
      </c>
      <c r="P20" s="13" t="s">
        <v>585</v>
      </c>
      <c r="Q20" s="13" t="s">
        <v>586</v>
      </c>
      <c r="R20" s="13" t="s">
        <v>587</v>
      </c>
      <c r="S20" s="13" t="s">
        <v>588</v>
      </c>
      <c r="T20" s="13" t="s">
        <v>589</v>
      </c>
      <c r="U20" s="13" t="s">
        <v>590</v>
      </c>
      <c r="V20" s="13" t="s">
        <v>591</v>
      </c>
      <c r="W20" s="13" t="s">
        <v>592</v>
      </c>
      <c r="X20" s="13" t="s">
        <v>593</v>
      </c>
      <c r="Y20" s="13" t="s">
        <v>594</v>
      </c>
      <c r="Z20" s="13" t="s">
        <v>595</v>
      </c>
      <c r="AA20" s="17" t="s">
        <v>596</v>
      </c>
      <c r="AB20" s="13" t="s">
        <v>597</v>
      </c>
      <c r="AC20" s="13" t="s">
        <v>598</v>
      </c>
      <c r="AD20" s="13" t="s">
        <v>599</v>
      </c>
      <c r="AE20" s="13" t="s">
        <v>600</v>
      </c>
      <c r="AF20" t="s">
        <v>601</v>
      </c>
    </row>
    <row r="21" spans="1:32" ht="23.1" customHeight="1" x14ac:dyDescent="0.25">
      <c r="A21" s="15" t="s">
        <v>2324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  <c r="AF21" t="s">
        <v>2325</v>
      </c>
    </row>
    <row r="22" spans="1:32" ht="36" customHeight="1" x14ac:dyDescent="0.25">
      <c r="A22" s="14" t="s">
        <v>2326</v>
      </c>
      <c r="B22" s="13" t="s">
        <v>215</v>
      </c>
      <c r="C22" s="13" t="s">
        <v>2327</v>
      </c>
      <c r="D22" s="13"/>
      <c r="E22" s="13"/>
      <c r="F22" s="13"/>
      <c r="G22" s="13" t="s">
        <v>2328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215</v>
      </c>
      <c r="AB22" s="13"/>
      <c r="AC22" s="13"/>
      <c r="AD22" s="13"/>
      <c r="AE22" s="13"/>
      <c r="AF22" t="s">
        <v>2329</v>
      </c>
    </row>
    <row r="23" spans="1:32" ht="36" customHeight="1" x14ac:dyDescent="0.25">
      <c r="A23" s="14" t="s">
        <v>2330</v>
      </c>
      <c r="B23" s="13" t="s">
        <v>225</v>
      </c>
      <c r="C23" s="13"/>
      <c r="D23" s="13"/>
      <c r="E23" s="13"/>
      <c r="F23" s="13"/>
      <c r="G23" s="13"/>
      <c r="H23" s="13"/>
      <c r="I23" s="13"/>
      <c r="J23" s="13"/>
      <c r="K23" s="13" t="s">
        <v>2331</v>
      </c>
      <c r="L23" s="13" t="s">
        <v>2331</v>
      </c>
      <c r="M23" s="13" t="s">
        <v>2332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2333</v>
      </c>
      <c r="AB23" s="13"/>
      <c r="AC23" s="13"/>
      <c r="AD23" s="13"/>
      <c r="AE23" s="13"/>
      <c r="AF23" t="s">
        <v>2334</v>
      </c>
    </row>
    <row r="24" spans="1:32" ht="36" customHeight="1" x14ac:dyDescent="0.25">
      <c r="A24" s="14" t="s">
        <v>2335</v>
      </c>
      <c r="B24" s="13" t="s">
        <v>2336</v>
      </c>
      <c r="C24" s="13"/>
      <c r="D24" s="13"/>
      <c r="E24" s="13"/>
      <c r="F24" s="13"/>
      <c r="G24" s="13" t="s">
        <v>2337</v>
      </c>
      <c r="H24" s="13"/>
      <c r="I24" s="13"/>
      <c r="J24" s="13"/>
      <c r="K24" s="13" t="s">
        <v>2338</v>
      </c>
      <c r="L24" s="13" t="s">
        <v>2339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/>
      <c r="AB24" s="13"/>
      <c r="AC24" s="13"/>
      <c r="AD24" s="13"/>
      <c r="AE24" s="13"/>
      <c r="AF24" t="s">
        <v>2340</v>
      </c>
    </row>
  </sheetData>
  <mergeCells count="1">
    <mergeCell ref="A1:A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7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Directory'!A1","Architecture &amp; Licensing"),"Architecture &amp; Licensing")</f>
        <v>Architecture &amp; Licensing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2341</v>
      </c>
      <c r="B3" s="13" t="s">
        <v>142</v>
      </c>
      <c r="C3" s="13" t="s">
        <v>143</v>
      </c>
      <c r="D3" s="13" t="s">
        <v>144</v>
      </c>
      <c r="E3" s="13" t="s">
        <v>143</v>
      </c>
      <c r="F3" s="13" t="s">
        <v>145</v>
      </c>
      <c r="G3" s="13" t="s">
        <v>146</v>
      </c>
      <c r="H3" s="13" t="s">
        <v>147</v>
      </c>
      <c r="I3" s="13" t="s">
        <v>148</v>
      </c>
      <c r="J3" s="13" t="s">
        <v>149</v>
      </c>
      <c r="K3" s="13" t="s">
        <v>150</v>
      </c>
      <c r="L3" s="13" t="s">
        <v>151</v>
      </c>
      <c r="M3" s="13" t="s">
        <v>152</v>
      </c>
      <c r="N3" s="13" t="s">
        <v>153</v>
      </c>
      <c r="O3" s="13" t="s">
        <v>154</v>
      </c>
      <c r="P3" s="13" t="s">
        <v>155</v>
      </c>
      <c r="Q3" s="13" t="s">
        <v>156</v>
      </c>
      <c r="R3" s="13" t="s">
        <v>157</v>
      </c>
      <c r="S3" s="13"/>
      <c r="T3" s="13" t="s">
        <v>145</v>
      </c>
      <c r="U3" s="13" t="s">
        <v>158</v>
      </c>
      <c r="V3" s="13" t="s">
        <v>159</v>
      </c>
      <c r="W3" s="13" t="s">
        <v>160</v>
      </c>
      <c r="X3" s="13" t="s">
        <v>161</v>
      </c>
      <c r="Y3" s="13" t="s">
        <v>162</v>
      </c>
      <c r="Z3" s="13" t="s">
        <v>163</v>
      </c>
      <c r="AA3" s="17" t="s">
        <v>145</v>
      </c>
      <c r="AB3" s="13" t="s">
        <v>164</v>
      </c>
      <c r="AC3" s="13" t="s">
        <v>145</v>
      </c>
      <c r="AD3" s="13" t="s">
        <v>165</v>
      </c>
      <c r="AE3" s="13" t="s">
        <v>166</v>
      </c>
      <c r="AF3" t="s">
        <v>167</v>
      </c>
    </row>
    <row r="4" spans="1:32" ht="36" customHeight="1" x14ac:dyDescent="0.25">
      <c r="A4" s="14" t="s">
        <v>2342</v>
      </c>
      <c r="B4" s="13" t="s">
        <v>2343</v>
      </c>
      <c r="C4" s="13" t="s">
        <v>2344</v>
      </c>
      <c r="D4" s="13" t="s">
        <v>2345</v>
      </c>
      <c r="E4" s="13" t="s">
        <v>2346</v>
      </c>
      <c r="F4" s="13" t="s">
        <v>2347</v>
      </c>
      <c r="G4" s="13" t="s">
        <v>2348</v>
      </c>
      <c r="H4" s="13" t="s">
        <v>2349</v>
      </c>
      <c r="I4" s="13" t="s">
        <v>2350</v>
      </c>
      <c r="J4" s="13" t="s">
        <v>2351</v>
      </c>
      <c r="K4" s="13" t="s">
        <v>2352</v>
      </c>
      <c r="L4" s="13" t="s">
        <v>2353</v>
      </c>
      <c r="M4" s="13" t="s">
        <v>2354</v>
      </c>
      <c r="N4" s="13" t="s">
        <v>2355</v>
      </c>
      <c r="O4" s="13" t="s">
        <v>512</v>
      </c>
      <c r="P4" s="13" t="s">
        <v>504</v>
      </c>
      <c r="Q4" s="13" t="s">
        <v>2356</v>
      </c>
      <c r="R4" s="13" t="s">
        <v>2357</v>
      </c>
      <c r="S4" s="13"/>
      <c r="T4" s="13" t="s">
        <v>504</v>
      </c>
      <c r="U4" s="13" t="s">
        <v>2358</v>
      </c>
      <c r="V4" s="13" t="s">
        <v>2359</v>
      </c>
      <c r="W4" s="13" t="s">
        <v>2360</v>
      </c>
      <c r="X4" s="13" t="s">
        <v>2361</v>
      </c>
      <c r="Y4" s="13" t="s">
        <v>2362</v>
      </c>
      <c r="Z4" s="13" t="s">
        <v>2363</v>
      </c>
      <c r="AA4" s="17" t="s">
        <v>512</v>
      </c>
      <c r="AB4" s="13" t="s">
        <v>2364</v>
      </c>
      <c r="AC4" s="13" t="s">
        <v>512</v>
      </c>
      <c r="AD4" s="13" t="s">
        <v>2365</v>
      </c>
      <c r="AE4" s="13" t="s">
        <v>512</v>
      </c>
      <c r="AF4" t="s">
        <v>2366</v>
      </c>
    </row>
    <row r="5" spans="1:32" ht="36" customHeight="1" x14ac:dyDescent="0.25">
      <c r="A5" s="14" t="s">
        <v>2367</v>
      </c>
      <c r="B5" s="13" t="s">
        <v>534</v>
      </c>
      <c r="C5" s="13" t="s">
        <v>2368</v>
      </c>
      <c r="D5" s="13" t="s">
        <v>2369</v>
      </c>
      <c r="E5" s="13" t="s">
        <v>2370</v>
      </c>
      <c r="F5" s="13" t="s">
        <v>534</v>
      </c>
      <c r="G5" s="13" t="s">
        <v>2371</v>
      </c>
      <c r="H5" s="13" t="s">
        <v>2372</v>
      </c>
      <c r="I5" s="13" t="s">
        <v>2373</v>
      </c>
      <c r="J5" s="13" t="s">
        <v>534</v>
      </c>
      <c r="K5" s="13" t="s">
        <v>2374</v>
      </c>
      <c r="L5" s="13" t="s">
        <v>2375</v>
      </c>
      <c r="M5" s="13" t="s">
        <v>2376</v>
      </c>
      <c r="N5" s="13" t="s">
        <v>534</v>
      </c>
      <c r="O5" s="13" t="s">
        <v>2377</v>
      </c>
      <c r="P5" s="13" t="s">
        <v>2378</v>
      </c>
      <c r="Q5" s="13"/>
      <c r="R5" s="13" t="s">
        <v>2379</v>
      </c>
      <c r="S5" s="13" t="s">
        <v>2380</v>
      </c>
      <c r="T5" s="13" t="s">
        <v>534</v>
      </c>
      <c r="U5" s="13"/>
      <c r="V5" s="13" t="s">
        <v>2381</v>
      </c>
      <c r="W5" s="13" t="s">
        <v>2382</v>
      </c>
      <c r="X5" s="13" t="s">
        <v>562</v>
      </c>
      <c r="Y5" s="13" t="s">
        <v>562</v>
      </c>
      <c r="Z5" s="13" t="s">
        <v>2383</v>
      </c>
      <c r="AA5" s="17" t="s">
        <v>534</v>
      </c>
      <c r="AB5" s="13" t="s">
        <v>2384</v>
      </c>
      <c r="AC5" s="13" t="s">
        <v>534</v>
      </c>
      <c r="AD5" s="13" t="s">
        <v>2385</v>
      </c>
      <c r="AE5" s="13"/>
      <c r="AF5" t="s">
        <v>191</v>
      </c>
    </row>
    <row r="6" spans="1:32" ht="36" customHeight="1" x14ac:dyDescent="0.25">
      <c r="A6" s="14" t="s">
        <v>2386</v>
      </c>
      <c r="B6" s="13" t="s">
        <v>534</v>
      </c>
      <c r="C6" s="13" t="s">
        <v>2387</v>
      </c>
      <c r="D6" s="13" t="s">
        <v>2369</v>
      </c>
      <c r="E6" s="13" t="s">
        <v>2370</v>
      </c>
      <c r="F6" s="13" t="s">
        <v>534</v>
      </c>
      <c r="G6" s="13" t="s">
        <v>2388</v>
      </c>
      <c r="H6" s="13" t="s">
        <v>2370</v>
      </c>
      <c r="I6" s="13" t="s">
        <v>2373</v>
      </c>
      <c r="J6" s="13" t="s">
        <v>534</v>
      </c>
      <c r="K6" s="13" t="s">
        <v>2389</v>
      </c>
      <c r="L6" s="13" t="s">
        <v>2390</v>
      </c>
      <c r="M6" s="13" t="s">
        <v>2391</v>
      </c>
      <c r="N6" s="13" t="s">
        <v>534</v>
      </c>
      <c r="O6" s="13" t="s">
        <v>2392</v>
      </c>
      <c r="P6" s="13"/>
      <c r="Q6" s="13"/>
      <c r="R6" s="13" t="s">
        <v>2393</v>
      </c>
      <c r="S6" s="13" t="s">
        <v>2394</v>
      </c>
      <c r="T6" s="13" t="s">
        <v>534</v>
      </c>
      <c r="U6" s="13"/>
      <c r="V6" s="13"/>
      <c r="W6" s="13" t="s">
        <v>2395</v>
      </c>
      <c r="X6" s="13" t="s">
        <v>2396</v>
      </c>
      <c r="Y6" s="13" t="s">
        <v>2397</v>
      </c>
      <c r="Z6" s="13" t="s">
        <v>2383</v>
      </c>
      <c r="AA6" s="17" t="s">
        <v>534</v>
      </c>
      <c r="AB6" s="13" t="s">
        <v>2384</v>
      </c>
      <c r="AC6" s="13" t="s">
        <v>2398</v>
      </c>
      <c r="AD6" s="13" t="s">
        <v>2385</v>
      </c>
      <c r="AE6" s="13" t="s">
        <v>568</v>
      </c>
      <c r="AF6" t="s">
        <v>191</v>
      </c>
    </row>
    <row r="7" spans="1:32" ht="36" customHeight="1" x14ac:dyDescent="0.25">
      <c r="A7" s="14" t="s">
        <v>2399</v>
      </c>
      <c r="B7" s="13" t="s">
        <v>2400</v>
      </c>
      <c r="C7" s="13" t="s">
        <v>2401</v>
      </c>
      <c r="D7" s="13" t="s">
        <v>2402</v>
      </c>
      <c r="E7" s="13" t="s">
        <v>2403</v>
      </c>
      <c r="F7" s="13" t="s">
        <v>228</v>
      </c>
      <c r="G7" s="13" t="s">
        <v>2404</v>
      </c>
      <c r="H7" s="13" t="s">
        <v>2405</v>
      </c>
      <c r="I7" s="13" t="s">
        <v>2406</v>
      </c>
      <c r="J7" s="13" t="s">
        <v>228</v>
      </c>
      <c r="K7" s="13" t="s">
        <v>2407</v>
      </c>
      <c r="L7" s="13" t="s">
        <v>2408</v>
      </c>
      <c r="M7" s="13" t="s">
        <v>2409</v>
      </c>
      <c r="N7" s="13" t="s">
        <v>228</v>
      </c>
      <c r="O7" s="13" t="s">
        <v>2410</v>
      </c>
      <c r="P7" s="13"/>
      <c r="Q7" s="13"/>
      <c r="R7" s="13"/>
      <c r="S7" s="13" t="s">
        <v>2411</v>
      </c>
      <c r="T7" s="13" t="s">
        <v>228</v>
      </c>
      <c r="U7" s="13"/>
      <c r="V7" s="13" t="s">
        <v>2412</v>
      </c>
      <c r="W7" s="13" t="s">
        <v>2413</v>
      </c>
      <c r="X7" s="13" t="s">
        <v>776</v>
      </c>
      <c r="Y7" s="13" t="s">
        <v>777</v>
      </c>
      <c r="Z7" s="13" t="s">
        <v>2414</v>
      </c>
      <c r="AA7" s="17" t="s">
        <v>228</v>
      </c>
      <c r="AB7" s="13" t="s">
        <v>2415</v>
      </c>
      <c r="AC7" s="13" t="s">
        <v>228</v>
      </c>
      <c r="AD7" s="13" t="s">
        <v>2416</v>
      </c>
      <c r="AE7" s="13" t="s">
        <v>2417</v>
      </c>
      <c r="AF7" t="s">
        <v>2418</v>
      </c>
    </row>
    <row r="8" spans="1:32" ht="36" customHeight="1" x14ac:dyDescent="0.25">
      <c r="A8" s="14" t="s">
        <v>2419</v>
      </c>
      <c r="B8" s="13" t="s">
        <v>2420</v>
      </c>
      <c r="C8" s="13" t="s">
        <v>2421</v>
      </c>
      <c r="D8" s="13" t="s">
        <v>2402</v>
      </c>
      <c r="E8" s="13" t="s">
        <v>2403</v>
      </c>
      <c r="F8" s="13" t="s">
        <v>228</v>
      </c>
      <c r="G8" s="13" t="s">
        <v>2422</v>
      </c>
      <c r="H8" s="13" t="s">
        <v>2423</v>
      </c>
      <c r="I8" s="13" t="s">
        <v>2406</v>
      </c>
      <c r="J8" s="13" t="s">
        <v>228</v>
      </c>
      <c r="K8" s="13" t="s">
        <v>2424</v>
      </c>
      <c r="L8" s="13" t="s">
        <v>2425</v>
      </c>
      <c r="M8" s="13" t="s">
        <v>2426</v>
      </c>
      <c r="N8" s="13" t="s">
        <v>228</v>
      </c>
      <c r="O8" s="13" t="s">
        <v>2427</v>
      </c>
      <c r="P8" s="13"/>
      <c r="Q8" s="13"/>
      <c r="R8" s="13" t="s">
        <v>2428</v>
      </c>
      <c r="S8" s="13" t="s">
        <v>2411</v>
      </c>
      <c r="T8" s="13" t="s">
        <v>228</v>
      </c>
      <c r="U8" s="13"/>
      <c r="V8" s="13" t="s">
        <v>2429</v>
      </c>
      <c r="W8" s="13" t="s">
        <v>2413</v>
      </c>
      <c r="X8" s="13" t="s">
        <v>776</v>
      </c>
      <c r="Y8" s="13" t="s">
        <v>777</v>
      </c>
      <c r="Z8" s="13" t="s">
        <v>2414</v>
      </c>
      <c r="AA8" s="17" t="s">
        <v>228</v>
      </c>
      <c r="AB8" s="13" t="s">
        <v>2415</v>
      </c>
      <c r="AC8" s="13" t="s">
        <v>228</v>
      </c>
      <c r="AD8" s="13" t="s">
        <v>2416</v>
      </c>
      <c r="AE8" s="13" t="s">
        <v>2417</v>
      </c>
      <c r="AF8" t="s">
        <v>2418</v>
      </c>
    </row>
    <row r="9" spans="1:32" ht="36" customHeight="1" x14ac:dyDescent="0.25">
      <c r="A9" s="14" t="s">
        <v>2430</v>
      </c>
      <c r="B9" s="13" t="s">
        <v>2431</v>
      </c>
      <c r="C9" s="13" t="s">
        <v>2432</v>
      </c>
      <c r="D9" s="13" t="s">
        <v>2433</v>
      </c>
      <c r="E9" s="13" t="s">
        <v>2434</v>
      </c>
      <c r="F9" s="13" t="s">
        <v>2435</v>
      </c>
      <c r="G9" s="13" t="s">
        <v>2436</v>
      </c>
      <c r="H9" s="13" t="s">
        <v>2432</v>
      </c>
      <c r="I9" s="13" t="s">
        <v>2437</v>
      </c>
      <c r="J9" s="13" t="s">
        <v>2437</v>
      </c>
      <c r="K9" s="13" t="s">
        <v>2434</v>
      </c>
      <c r="L9" s="13" t="s">
        <v>2434</v>
      </c>
      <c r="M9" s="13" t="s">
        <v>2434</v>
      </c>
      <c r="N9" s="13" t="s">
        <v>2437</v>
      </c>
      <c r="O9" s="13" t="s">
        <v>2438</v>
      </c>
      <c r="P9" s="13" t="s">
        <v>228</v>
      </c>
      <c r="Q9" s="13" t="s">
        <v>2434</v>
      </c>
      <c r="R9" s="13" t="s">
        <v>2439</v>
      </c>
      <c r="S9" s="13"/>
      <c r="T9" s="13" t="s">
        <v>228</v>
      </c>
      <c r="U9" s="13" t="s">
        <v>2437</v>
      </c>
      <c r="V9" s="13" t="s">
        <v>2432</v>
      </c>
      <c r="W9" s="13" t="s">
        <v>2432</v>
      </c>
      <c r="X9" s="13" t="s">
        <v>2440</v>
      </c>
      <c r="Y9" s="13" t="s">
        <v>2434</v>
      </c>
      <c r="Z9" s="13" t="s">
        <v>2434</v>
      </c>
      <c r="AA9" s="17" t="s">
        <v>228</v>
      </c>
      <c r="AB9" s="13" t="s">
        <v>2434</v>
      </c>
      <c r="AC9" s="13" t="s">
        <v>228</v>
      </c>
      <c r="AD9" s="13" t="s">
        <v>2441</v>
      </c>
      <c r="AE9" s="13" t="s">
        <v>228</v>
      </c>
      <c r="AF9" t="s">
        <v>2442</v>
      </c>
    </row>
    <row r="10" spans="1:32" ht="36" customHeight="1" x14ac:dyDescent="0.25">
      <c r="A10" s="14" t="s">
        <v>2443</v>
      </c>
      <c r="B10" s="13" t="s">
        <v>2431</v>
      </c>
      <c r="C10" s="13" t="s">
        <v>2444</v>
      </c>
      <c r="D10" s="13" t="s">
        <v>225</v>
      </c>
      <c r="E10" s="13" t="s">
        <v>2445</v>
      </c>
      <c r="F10" s="13" t="s">
        <v>225</v>
      </c>
      <c r="G10" s="13" t="s">
        <v>2446</v>
      </c>
      <c r="H10" s="13" t="s">
        <v>2447</v>
      </c>
      <c r="I10" s="13" t="s">
        <v>2448</v>
      </c>
      <c r="J10" s="13" t="s">
        <v>2449</v>
      </c>
      <c r="K10" s="13" t="s">
        <v>2450</v>
      </c>
      <c r="L10" s="13" t="s">
        <v>2451</v>
      </c>
      <c r="M10" s="13" t="s">
        <v>2452</v>
      </c>
      <c r="N10" s="13"/>
      <c r="O10" s="13"/>
      <c r="P10" s="13" t="s">
        <v>2453</v>
      </c>
      <c r="Q10" s="13" t="s">
        <v>2454</v>
      </c>
      <c r="R10" s="13"/>
      <c r="S10" s="13"/>
      <c r="T10" s="13" t="s">
        <v>2455</v>
      </c>
      <c r="U10" s="13"/>
      <c r="V10" s="13"/>
      <c r="W10" s="13"/>
      <c r="X10" s="13" t="s">
        <v>2456</v>
      </c>
      <c r="Y10" s="13"/>
      <c r="Z10" s="13" t="s">
        <v>2457</v>
      </c>
      <c r="AA10" s="17" t="s">
        <v>225</v>
      </c>
      <c r="AB10" s="13"/>
      <c r="AC10" s="13" t="s">
        <v>2455</v>
      </c>
      <c r="AD10" s="13" t="s">
        <v>2458</v>
      </c>
      <c r="AE10" s="13" t="s">
        <v>2459</v>
      </c>
      <c r="AF10" t="s">
        <v>2460</v>
      </c>
    </row>
    <row r="11" spans="1:32" ht="23.1" customHeight="1" x14ac:dyDescent="0.25">
      <c r="A11" s="15" t="s">
        <v>2461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  <c r="AF11" t="s">
        <v>2462</v>
      </c>
    </row>
    <row r="12" spans="1:32" ht="23.1" customHeight="1" x14ac:dyDescent="0.25">
      <c r="A12" s="15" t="s">
        <v>2463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  <c r="AF12" t="s">
        <v>2260</v>
      </c>
    </row>
    <row r="13" spans="1:32" ht="36" customHeight="1" x14ac:dyDescent="0.25">
      <c r="A13" s="14" t="s">
        <v>2464</v>
      </c>
      <c r="B13" s="13" t="s">
        <v>225</v>
      </c>
      <c r="C13" s="13" t="s">
        <v>215</v>
      </c>
      <c r="D13" s="13" t="s">
        <v>494</v>
      </c>
      <c r="E13" s="13" t="s">
        <v>215</v>
      </c>
      <c r="F13" s="13" t="s">
        <v>225</v>
      </c>
      <c r="G13" s="13" t="s">
        <v>215</v>
      </c>
      <c r="H13" s="13" t="s">
        <v>215</v>
      </c>
      <c r="I13" s="13" t="s">
        <v>215</v>
      </c>
      <c r="J13" s="13" t="s">
        <v>215</v>
      </c>
      <c r="K13" s="13" t="s">
        <v>215</v>
      </c>
      <c r="L13" s="13" t="s">
        <v>215</v>
      </c>
      <c r="M13" s="13" t="s">
        <v>215</v>
      </c>
      <c r="N13" s="13" t="s">
        <v>215</v>
      </c>
      <c r="O13" s="13" t="s">
        <v>495</v>
      </c>
      <c r="P13" s="13" t="s">
        <v>225</v>
      </c>
      <c r="Q13" s="13" t="s">
        <v>215</v>
      </c>
      <c r="R13" s="13" t="s">
        <v>496</v>
      </c>
      <c r="S13" s="13"/>
      <c r="T13" s="13" t="s">
        <v>225</v>
      </c>
      <c r="U13" s="13" t="s">
        <v>215</v>
      </c>
      <c r="V13" s="13" t="s">
        <v>215</v>
      </c>
      <c r="W13" s="13" t="s">
        <v>497</v>
      </c>
      <c r="X13" s="13" t="s">
        <v>498</v>
      </c>
      <c r="Y13" s="13" t="s">
        <v>215</v>
      </c>
      <c r="Z13" s="13" t="s">
        <v>215</v>
      </c>
      <c r="AA13" s="17" t="s">
        <v>225</v>
      </c>
      <c r="AB13" s="13" t="s">
        <v>215</v>
      </c>
      <c r="AC13" s="13" t="s">
        <v>225</v>
      </c>
      <c r="AD13" s="13" t="s">
        <v>215</v>
      </c>
      <c r="AE13" s="13" t="s">
        <v>225</v>
      </c>
      <c r="AF13" t="s">
        <v>215</v>
      </c>
    </row>
    <row r="14" spans="1:32" ht="36" customHeight="1" x14ac:dyDescent="0.25">
      <c r="A14" s="14" t="s">
        <v>628</v>
      </c>
      <c r="B14" s="13" t="s">
        <v>225</v>
      </c>
      <c r="C14" s="13" t="s">
        <v>225</v>
      </c>
      <c r="D14" s="13" t="s">
        <v>225</v>
      </c>
      <c r="E14" s="13" t="s">
        <v>500</v>
      </c>
      <c r="F14" s="13" t="s">
        <v>225</v>
      </c>
      <c r="G14" s="13" t="s">
        <v>501</v>
      </c>
      <c r="H14" s="13" t="s">
        <v>225</v>
      </c>
      <c r="I14" s="13" t="s">
        <v>225</v>
      </c>
      <c r="J14" s="13" t="s">
        <v>225</v>
      </c>
      <c r="K14" s="13" t="s">
        <v>225</v>
      </c>
      <c r="L14" s="13" t="s">
        <v>502</v>
      </c>
      <c r="M14" s="13" t="s">
        <v>503</v>
      </c>
      <c r="N14" s="13" t="s">
        <v>504</v>
      </c>
      <c r="O14" s="13" t="s">
        <v>225</v>
      </c>
      <c r="P14" s="13" t="s">
        <v>225</v>
      </c>
      <c r="Q14" s="13" t="s">
        <v>505</v>
      </c>
      <c r="R14" s="13" t="s">
        <v>506</v>
      </c>
      <c r="S14" s="13" t="s">
        <v>504</v>
      </c>
      <c r="T14" s="13" t="s">
        <v>225</v>
      </c>
      <c r="U14" s="13" t="s">
        <v>225</v>
      </c>
      <c r="V14" s="13" t="s">
        <v>507</v>
      </c>
      <c r="W14" s="13" t="s">
        <v>508</v>
      </c>
      <c r="X14" s="13" t="s">
        <v>509</v>
      </c>
      <c r="Y14" s="13" t="s">
        <v>510</v>
      </c>
      <c r="Z14" s="13" t="s">
        <v>511</v>
      </c>
      <c r="AA14" s="17" t="s">
        <v>225</v>
      </c>
      <c r="AB14" s="13" t="s">
        <v>512</v>
      </c>
      <c r="AC14" s="13" t="s">
        <v>225</v>
      </c>
      <c r="AD14" s="13" t="s">
        <v>513</v>
      </c>
      <c r="AE14" s="13" t="s">
        <v>225</v>
      </c>
      <c r="AF14" t="s">
        <v>215</v>
      </c>
    </row>
    <row r="15" spans="1:32" ht="36" customHeight="1" x14ac:dyDescent="0.25">
      <c r="A15" s="14" t="s">
        <v>2465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 t="s">
        <v>215</v>
      </c>
      <c r="Y15" s="13" t="s">
        <v>215</v>
      </c>
      <c r="Z15" s="13"/>
      <c r="AA15" s="17" t="s">
        <v>225</v>
      </c>
      <c r="AB15" s="13"/>
      <c r="AC15" s="13"/>
      <c r="AD15" s="13"/>
      <c r="AE15" s="13"/>
    </row>
    <row r="16" spans="1:32" ht="36" customHeight="1" x14ac:dyDescent="0.25">
      <c r="A16" s="14" t="s">
        <v>2466</v>
      </c>
      <c r="B16" s="13" t="s">
        <v>516</v>
      </c>
      <c r="C16" s="13" t="s">
        <v>517</v>
      </c>
      <c r="D16" s="13" t="s">
        <v>518</v>
      </c>
      <c r="E16" s="13" t="s">
        <v>519</v>
      </c>
      <c r="F16" s="13" t="s">
        <v>520</v>
      </c>
      <c r="G16" s="13" t="s">
        <v>521</v>
      </c>
      <c r="H16" s="13" t="s">
        <v>522</v>
      </c>
      <c r="I16" s="13" t="s">
        <v>523</v>
      </c>
      <c r="J16" s="13" t="s">
        <v>524</v>
      </c>
      <c r="K16" s="13" t="s">
        <v>525</v>
      </c>
      <c r="L16" s="13" t="s">
        <v>526</v>
      </c>
      <c r="M16" s="13" t="s">
        <v>527</v>
      </c>
      <c r="N16" s="13" t="s">
        <v>528</v>
      </c>
      <c r="O16" s="13" t="s">
        <v>529</v>
      </c>
      <c r="P16" s="13" t="s">
        <v>530</v>
      </c>
      <c r="Q16" s="13" t="s">
        <v>531</v>
      </c>
      <c r="R16" s="13" t="s">
        <v>532</v>
      </c>
      <c r="S16" s="13" t="s">
        <v>533</v>
      </c>
      <c r="T16" s="13" t="s">
        <v>534</v>
      </c>
      <c r="U16" s="13"/>
      <c r="V16" s="13" t="s">
        <v>535</v>
      </c>
      <c r="W16" s="13" t="s">
        <v>536</v>
      </c>
      <c r="X16" s="13" t="s">
        <v>537</v>
      </c>
      <c r="Y16" s="13" t="s">
        <v>538</v>
      </c>
      <c r="Z16" s="13" t="s">
        <v>539</v>
      </c>
      <c r="AA16" s="17" t="s">
        <v>534</v>
      </c>
      <c r="AB16" s="13" t="s">
        <v>540</v>
      </c>
      <c r="AC16" s="13" t="s">
        <v>534</v>
      </c>
      <c r="AD16" s="13" t="s">
        <v>541</v>
      </c>
      <c r="AE16" s="13" t="s">
        <v>542</v>
      </c>
      <c r="AF16" t="s">
        <v>2467</v>
      </c>
    </row>
    <row r="17" spans="1:32" ht="36" customHeight="1" x14ac:dyDescent="0.25">
      <c r="A17" s="14" t="s">
        <v>2468</v>
      </c>
      <c r="B17" s="13" t="s">
        <v>225</v>
      </c>
      <c r="C17" s="13"/>
      <c r="D17" s="13"/>
      <c r="E17" s="13"/>
      <c r="F17" s="13"/>
      <c r="G17" s="13"/>
      <c r="H17" s="13"/>
      <c r="I17" s="13" t="s">
        <v>215</v>
      </c>
      <c r="J17" s="13" t="s">
        <v>215</v>
      </c>
      <c r="K17" s="13"/>
      <c r="L17" s="13" t="s">
        <v>215</v>
      </c>
      <c r="M17" s="13" t="s">
        <v>215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228</v>
      </c>
      <c r="AB17" s="13"/>
      <c r="AC17" s="13"/>
      <c r="AD17" s="13"/>
      <c r="AE17" s="13"/>
      <c r="AF17" t="s">
        <v>2469</v>
      </c>
    </row>
  </sheetData>
  <mergeCells count="1">
    <mergeCell ref="A1:A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38"/>
  <sheetViews>
    <sheetView workbookViewId="0">
      <pane xSplit="2" ySplit="2" topLeftCell="X22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Directory'!A1","Architecture, Federation &amp; Deployment — Granular"),"Architecture, Federation &amp; Deployment — Granular")</f>
        <v>Architecture, Federation &amp; Deployment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2470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167</v>
      </c>
    </row>
    <row r="4" spans="1:32" ht="23.1" customHeight="1" x14ac:dyDescent="0.25">
      <c r="A4" s="15" t="s">
        <v>2463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  <c r="AB4" s="15"/>
      <c r="AC4" s="15"/>
      <c r="AD4" s="15"/>
      <c r="AE4" s="15"/>
      <c r="AF4" t="s">
        <v>2260</v>
      </c>
    </row>
    <row r="5" spans="1:32" ht="36" customHeight="1" x14ac:dyDescent="0.25">
      <c r="A5" s="14" t="s">
        <v>2464</v>
      </c>
      <c r="B5" s="13" t="s">
        <v>225</v>
      </c>
      <c r="C5" s="13" t="s">
        <v>215</v>
      </c>
      <c r="D5" s="13" t="s">
        <v>494</v>
      </c>
      <c r="E5" s="13" t="s">
        <v>215</v>
      </c>
      <c r="F5" s="13" t="s">
        <v>225</v>
      </c>
      <c r="G5" s="13" t="s">
        <v>215</v>
      </c>
      <c r="H5" s="13" t="s">
        <v>215</v>
      </c>
      <c r="I5" s="13" t="s">
        <v>215</v>
      </c>
      <c r="J5" s="13" t="s">
        <v>215</v>
      </c>
      <c r="K5" s="13" t="s">
        <v>215</v>
      </c>
      <c r="L5" s="13" t="s">
        <v>215</v>
      </c>
      <c r="M5" s="13" t="s">
        <v>215</v>
      </c>
      <c r="N5" s="13" t="s">
        <v>215</v>
      </c>
      <c r="O5" s="13" t="s">
        <v>495</v>
      </c>
      <c r="P5" s="13" t="s">
        <v>225</v>
      </c>
      <c r="Q5" s="13" t="s">
        <v>215</v>
      </c>
      <c r="R5" s="13" t="s">
        <v>496</v>
      </c>
      <c r="S5" s="13"/>
      <c r="T5" s="13" t="s">
        <v>225</v>
      </c>
      <c r="U5" s="13" t="s">
        <v>215</v>
      </c>
      <c r="V5" s="13" t="s">
        <v>215</v>
      </c>
      <c r="W5" s="13" t="s">
        <v>497</v>
      </c>
      <c r="X5" s="13" t="s">
        <v>498</v>
      </c>
      <c r="Y5" s="13" t="s">
        <v>215</v>
      </c>
      <c r="Z5" s="13" t="s">
        <v>215</v>
      </c>
      <c r="AA5" s="17" t="s">
        <v>225</v>
      </c>
      <c r="AB5" s="13" t="s">
        <v>215</v>
      </c>
      <c r="AC5" s="13" t="s">
        <v>225</v>
      </c>
      <c r="AD5" s="13" t="s">
        <v>215</v>
      </c>
      <c r="AE5" s="13" t="s">
        <v>225</v>
      </c>
      <c r="AF5" t="s">
        <v>215</v>
      </c>
    </row>
    <row r="6" spans="1:32" ht="36" customHeight="1" x14ac:dyDescent="0.25">
      <c r="A6" s="14" t="s">
        <v>628</v>
      </c>
      <c r="B6" s="13" t="s">
        <v>225</v>
      </c>
      <c r="C6" s="13" t="s">
        <v>225</v>
      </c>
      <c r="D6" s="13" t="s">
        <v>225</v>
      </c>
      <c r="E6" s="13" t="s">
        <v>500</v>
      </c>
      <c r="F6" s="13" t="s">
        <v>225</v>
      </c>
      <c r="G6" s="13" t="s">
        <v>501</v>
      </c>
      <c r="H6" s="13" t="s">
        <v>225</v>
      </c>
      <c r="I6" s="13" t="s">
        <v>225</v>
      </c>
      <c r="J6" s="13" t="s">
        <v>225</v>
      </c>
      <c r="K6" s="13" t="s">
        <v>225</v>
      </c>
      <c r="L6" s="13" t="s">
        <v>502</v>
      </c>
      <c r="M6" s="13" t="s">
        <v>503</v>
      </c>
      <c r="N6" s="13" t="s">
        <v>504</v>
      </c>
      <c r="O6" s="13" t="s">
        <v>225</v>
      </c>
      <c r="P6" s="13" t="s">
        <v>225</v>
      </c>
      <c r="Q6" s="13" t="s">
        <v>505</v>
      </c>
      <c r="R6" s="13" t="s">
        <v>506</v>
      </c>
      <c r="S6" s="13" t="s">
        <v>504</v>
      </c>
      <c r="T6" s="13" t="s">
        <v>225</v>
      </c>
      <c r="U6" s="13" t="s">
        <v>225</v>
      </c>
      <c r="V6" s="13" t="s">
        <v>507</v>
      </c>
      <c r="W6" s="13" t="s">
        <v>508</v>
      </c>
      <c r="X6" s="13" t="s">
        <v>509</v>
      </c>
      <c r="Y6" s="13" t="s">
        <v>510</v>
      </c>
      <c r="Z6" s="13" t="s">
        <v>511</v>
      </c>
      <c r="AA6" s="17" t="s">
        <v>225</v>
      </c>
      <c r="AB6" s="13" t="s">
        <v>512</v>
      </c>
      <c r="AC6" s="13" t="s">
        <v>225</v>
      </c>
      <c r="AD6" s="13" t="s">
        <v>513</v>
      </c>
      <c r="AE6" s="13" t="s">
        <v>225</v>
      </c>
      <c r="AF6" t="s">
        <v>215</v>
      </c>
    </row>
    <row r="7" spans="1:32" ht="36" customHeight="1" x14ac:dyDescent="0.25">
      <c r="A7" s="14" t="s">
        <v>2465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 t="s">
        <v>215</v>
      </c>
      <c r="Y7" s="13" t="s">
        <v>215</v>
      </c>
      <c r="Z7" s="13"/>
      <c r="AA7" s="17" t="s">
        <v>228</v>
      </c>
      <c r="AB7" s="13"/>
      <c r="AC7" s="13"/>
      <c r="AD7" s="13"/>
      <c r="AE7" s="13"/>
    </row>
    <row r="8" spans="1:32" ht="36" customHeight="1" x14ac:dyDescent="0.25">
      <c r="A8" s="14" t="s">
        <v>2471</v>
      </c>
      <c r="B8" s="13" t="s">
        <v>225</v>
      </c>
      <c r="C8" s="13" t="s">
        <v>215</v>
      </c>
      <c r="D8" s="13" t="s">
        <v>225</v>
      </c>
      <c r="E8" s="13" t="s">
        <v>215</v>
      </c>
      <c r="F8" s="13" t="s">
        <v>225</v>
      </c>
      <c r="G8" s="13" t="s">
        <v>215</v>
      </c>
      <c r="H8" s="13" t="s">
        <v>215</v>
      </c>
      <c r="I8" s="13" t="s">
        <v>215</v>
      </c>
      <c r="J8" s="13" t="s">
        <v>215</v>
      </c>
      <c r="K8" s="13" t="s">
        <v>215</v>
      </c>
      <c r="L8" s="13" t="s">
        <v>215</v>
      </c>
      <c r="M8" s="13" t="s">
        <v>215</v>
      </c>
      <c r="N8" s="13" t="s">
        <v>215</v>
      </c>
      <c r="O8" s="13" t="s">
        <v>2262</v>
      </c>
      <c r="P8" s="13" t="s">
        <v>225</v>
      </c>
      <c r="Q8" s="13" t="s">
        <v>215</v>
      </c>
      <c r="R8" s="13" t="s">
        <v>496</v>
      </c>
      <c r="S8" s="13"/>
      <c r="T8" s="13" t="s">
        <v>225</v>
      </c>
      <c r="U8" s="13" t="s">
        <v>215</v>
      </c>
      <c r="V8" s="13" t="s">
        <v>215</v>
      </c>
      <c r="W8" s="13" t="s">
        <v>2263</v>
      </c>
      <c r="X8" s="13" t="s">
        <v>215</v>
      </c>
      <c r="Y8" s="13" t="s">
        <v>215</v>
      </c>
      <c r="Z8" s="13" t="s">
        <v>215</v>
      </c>
      <c r="AA8" s="17" t="s">
        <v>225</v>
      </c>
      <c r="AB8" s="13" t="s">
        <v>215</v>
      </c>
      <c r="AC8" s="13" t="s">
        <v>225</v>
      </c>
      <c r="AD8" s="13" t="s">
        <v>215</v>
      </c>
      <c r="AE8" s="13" t="s">
        <v>225</v>
      </c>
      <c r="AF8" t="s">
        <v>215</v>
      </c>
    </row>
    <row r="9" spans="1:32" ht="36" customHeight="1" x14ac:dyDescent="0.25">
      <c r="A9" s="14" t="s">
        <v>2472</v>
      </c>
      <c r="B9" s="13" t="s">
        <v>225</v>
      </c>
      <c r="C9" s="13" t="s">
        <v>225</v>
      </c>
      <c r="D9" s="13" t="s">
        <v>225</v>
      </c>
      <c r="E9" s="13" t="s">
        <v>2265</v>
      </c>
      <c r="F9" s="13" t="s">
        <v>225</v>
      </c>
      <c r="G9" s="13" t="s">
        <v>2266</v>
      </c>
      <c r="H9" s="13" t="s">
        <v>225</v>
      </c>
      <c r="I9" s="13" t="s">
        <v>225</v>
      </c>
      <c r="J9" s="13" t="s">
        <v>225</v>
      </c>
      <c r="K9" s="13" t="s">
        <v>225</v>
      </c>
      <c r="L9" s="13" t="s">
        <v>225</v>
      </c>
      <c r="M9" s="13" t="s">
        <v>2267</v>
      </c>
      <c r="N9" s="13" t="s">
        <v>225</v>
      </c>
      <c r="O9" s="13" t="s">
        <v>225</v>
      </c>
      <c r="P9" s="13" t="s">
        <v>225</v>
      </c>
      <c r="Q9" s="13" t="s">
        <v>2268</v>
      </c>
      <c r="R9" s="13" t="s">
        <v>2269</v>
      </c>
      <c r="S9" s="13" t="s">
        <v>225</v>
      </c>
      <c r="T9" s="13" t="s">
        <v>225</v>
      </c>
      <c r="U9" s="13" t="s">
        <v>225</v>
      </c>
      <c r="V9" s="13" t="s">
        <v>2269</v>
      </c>
      <c r="W9" s="13" t="s">
        <v>2270</v>
      </c>
      <c r="X9" s="13" t="s">
        <v>2271</v>
      </c>
      <c r="Y9" s="13" t="s">
        <v>2272</v>
      </c>
      <c r="Z9" s="13" t="s">
        <v>2273</v>
      </c>
      <c r="AA9" s="17" t="s">
        <v>225</v>
      </c>
      <c r="AB9" s="13" t="s">
        <v>225</v>
      </c>
      <c r="AC9" s="13" t="s">
        <v>225</v>
      </c>
      <c r="AD9" s="13" t="s">
        <v>2274</v>
      </c>
      <c r="AE9" s="13" t="s">
        <v>225</v>
      </c>
      <c r="AF9" t="s">
        <v>2275</v>
      </c>
    </row>
    <row r="10" spans="1:32" ht="36" customHeight="1" x14ac:dyDescent="0.25">
      <c r="A10" s="14" t="s">
        <v>2473</v>
      </c>
      <c r="B10" s="13" t="s">
        <v>225</v>
      </c>
      <c r="C10" s="13"/>
      <c r="D10" s="13" t="s">
        <v>225</v>
      </c>
      <c r="E10" s="13"/>
      <c r="F10" s="13" t="s">
        <v>225</v>
      </c>
      <c r="G10" s="13" t="s">
        <v>215</v>
      </c>
      <c r="H10" s="13"/>
      <c r="I10" s="13" t="s">
        <v>225</v>
      </c>
      <c r="J10" s="13" t="s">
        <v>225</v>
      </c>
      <c r="K10" s="13" t="s">
        <v>225</v>
      </c>
      <c r="L10" s="13" t="s">
        <v>225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215</v>
      </c>
      <c r="Y10" s="13" t="s">
        <v>215</v>
      </c>
      <c r="Z10" s="13" t="s">
        <v>215</v>
      </c>
      <c r="AA10" s="17" t="s">
        <v>228</v>
      </c>
      <c r="AB10" s="13"/>
      <c r="AC10" s="13"/>
      <c r="AD10" s="13"/>
      <c r="AE10" s="13"/>
      <c r="AF10" t="s">
        <v>2275</v>
      </c>
    </row>
    <row r="11" spans="1:32" ht="36" customHeight="1" x14ac:dyDescent="0.25">
      <c r="A11" s="14" t="s">
        <v>2474</v>
      </c>
      <c r="B11" s="13" t="s">
        <v>225</v>
      </c>
      <c r="C11" s="13" t="s">
        <v>2277</v>
      </c>
      <c r="D11" s="13" t="s">
        <v>225</v>
      </c>
      <c r="E11" s="13" t="s">
        <v>2278</v>
      </c>
      <c r="F11" s="13" t="s">
        <v>225</v>
      </c>
      <c r="G11" s="13" t="s">
        <v>2279</v>
      </c>
      <c r="H11" s="13" t="s">
        <v>225</v>
      </c>
      <c r="I11" s="13" t="s">
        <v>2280</v>
      </c>
      <c r="J11" s="13" t="s">
        <v>2281</v>
      </c>
      <c r="K11" s="13" t="s">
        <v>2282</v>
      </c>
      <c r="L11" s="13" t="s">
        <v>225</v>
      </c>
      <c r="M11" s="13" t="s">
        <v>2283</v>
      </c>
      <c r="N11" s="13" t="s">
        <v>225</v>
      </c>
      <c r="O11" s="13" t="s">
        <v>225</v>
      </c>
      <c r="P11" s="13" t="s">
        <v>225</v>
      </c>
      <c r="Q11" s="13"/>
      <c r="R11" s="13" t="s">
        <v>2269</v>
      </c>
      <c r="S11" s="13" t="s">
        <v>225</v>
      </c>
      <c r="T11" s="13" t="s">
        <v>225</v>
      </c>
      <c r="U11" s="13" t="s">
        <v>225</v>
      </c>
      <c r="V11" s="13" t="s">
        <v>2269</v>
      </c>
      <c r="W11" s="13" t="s">
        <v>2284</v>
      </c>
      <c r="X11" s="13" t="s">
        <v>2285</v>
      </c>
      <c r="Y11" s="13" t="s">
        <v>2286</v>
      </c>
      <c r="Z11" s="13" t="s">
        <v>2287</v>
      </c>
      <c r="AA11" s="17" t="s">
        <v>225</v>
      </c>
      <c r="AB11" s="13" t="s">
        <v>225</v>
      </c>
      <c r="AC11" s="13" t="s">
        <v>225</v>
      </c>
      <c r="AD11" s="13" t="s">
        <v>2288</v>
      </c>
      <c r="AE11" s="13" t="s">
        <v>225</v>
      </c>
      <c r="AF11" t="s">
        <v>2289</v>
      </c>
    </row>
    <row r="12" spans="1:32" ht="23.1" customHeight="1" x14ac:dyDescent="0.25">
      <c r="A12" s="15" t="s">
        <v>2475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2476</v>
      </c>
      <c r="B13" s="13" t="s">
        <v>2343</v>
      </c>
      <c r="C13" s="13" t="s">
        <v>2344</v>
      </c>
      <c r="D13" s="13" t="s">
        <v>2345</v>
      </c>
      <c r="E13" s="13" t="s">
        <v>2346</v>
      </c>
      <c r="F13" s="13" t="s">
        <v>2347</v>
      </c>
      <c r="G13" s="13" t="s">
        <v>2348</v>
      </c>
      <c r="H13" s="13" t="s">
        <v>2349</v>
      </c>
      <c r="I13" s="13" t="s">
        <v>2350</v>
      </c>
      <c r="J13" s="13" t="s">
        <v>2351</v>
      </c>
      <c r="K13" s="13" t="s">
        <v>2352</v>
      </c>
      <c r="L13" s="13" t="s">
        <v>2353</v>
      </c>
      <c r="M13" s="13" t="s">
        <v>2354</v>
      </c>
      <c r="N13" s="13" t="s">
        <v>2355</v>
      </c>
      <c r="O13" s="13" t="s">
        <v>512</v>
      </c>
      <c r="P13" s="13" t="s">
        <v>504</v>
      </c>
      <c r="Q13" s="13" t="s">
        <v>2356</v>
      </c>
      <c r="R13" s="13" t="s">
        <v>2357</v>
      </c>
      <c r="S13" s="13"/>
      <c r="T13" s="13" t="s">
        <v>504</v>
      </c>
      <c r="U13" s="13" t="s">
        <v>2358</v>
      </c>
      <c r="V13" s="13" t="s">
        <v>2359</v>
      </c>
      <c r="W13" s="13" t="s">
        <v>2360</v>
      </c>
      <c r="X13" s="13" t="s">
        <v>2361</v>
      </c>
      <c r="Y13" s="13" t="s">
        <v>2362</v>
      </c>
      <c r="Z13" s="13" t="s">
        <v>2363</v>
      </c>
      <c r="AA13" s="17" t="s">
        <v>512</v>
      </c>
      <c r="AB13" s="13" t="s">
        <v>2364</v>
      </c>
      <c r="AC13" s="13" t="s">
        <v>512</v>
      </c>
      <c r="AD13" s="13" t="s">
        <v>2365</v>
      </c>
      <c r="AE13" s="13" t="s">
        <v>512</v>
      </c>
      <c r="AF13" t="s">
        <v>2467</v>
      </c>
    </row>
    <row r="14" spans="1:32" ht="36" customHeight="1" x14ac:dyDescent="0.25">
      <c r="A14" s="14" t="s">
        <v>2466</v>
      </c>
      <c r="B14" s="13" t="s">
        <v>516</v>
      </c>
      <c r="C14" s="13" t="s">
        <v>517</v>
      </c>
      <c r="D14" s="13" t="s">
        <v>518</v>
      </c>
      <c r="E14" s="13" t="s">
        <v>519</v>
      </c>
      <c r="F14" s="13" t="s">
        <v>520</v>
      </c>
      <c r="G14" s="13" t="s">
        <v>521</v>
      </c>
      <c r="H14" s="13" t="s">
        <v>522</v>
      </c>
      <c r="I14" s="13" t="s">
        <v>523</v>
      </c>
      <c r="J14" s="13" t="s">
        <v>524</v>
      </c>
      <c r="K14" s="13" t="s">
        <v>525</v>
      </c>
      <c r="L14" s="13" t="s">
        <v>526</v>
      </c>
      <c r="M14" s="13" t="s">
        <v>527</v>
      </c>
      <c r="N14" s="13" t="s">
        <v>528</v>
      </c>
      <c r="O14" s="13" t="s">
        <v>529</v>
      </c>
      <c r="P14" s="13" t="s">
        <v>530</v>
      </c>
      <c r="Q14" s="13" t="s">
        <v>531</v>
      </c>
      <c r="R14" s="13" t="s">
        <v>532</v>
      </c>
      <c r="S14" s="13" t="s">
        <v>533</v>
      </c>
      <c r="T14" s="13" t="s">
        <v>534</v>
      </c>
      <c r="U14" s="13"/>
      <c r="V14" s="13" t="s">
        <v>535</v>
      </c>
      <c r="W14" s="13" t="s">
        <v>536</v>
      </c>
      <c r="X14" s="13" t="s">
        <v>537</v>
      </c>
      <c r="Y14" s="13" t="s">
        <v>538</v>
      </c>
      <c r="Z14" s="13" t="s">
        <v>539</v>
      </c>
      <c r="AA14" s="17" t="s">
        <v>534</v>
      </c>
      <c r="AB14" s="13" t="s">
        <v>540</v>
      </c>
      <c r="AC14" s="13" t="s">
        <v>534</v>
      </c>
      <c r="AD14" s="13" t="s">
        <v>541</v>
      </c>
      <c r="AE14" s="13" t="s">
        <v>542</v>
      </c>
      <c r="AF14" t="s">
        <v>2467</v>
      </c>
    </row>
    <row r="15" spans="1:32" ht="36" customHeight="1" x14ac:dyDescent="0.25">
      <c r="A15" s="14" t="s">
        <v>2477</v>
      </c>
      <c r="B15" s="13" t="s">
        <v>225</v>
      </c>
      <c r="C15" s="13" t="s">
        <v>225</v>
      </c>
      <c r="D15" s="13" t="s">
        <v>225</v>
      </c>
      <c r="E15" s="13" t="s">
        <v>2291</v>
      </c>
      <c r="F15" s="13" t="s">
        <v>225</v>
      </c>
      <c r="G15" s="13" t="s">
        <v>225</v>
      </c>
      <c r="H15" s="13" t="s">
        <v>2292</v>
      </c>
      <c r="I15" s="13" t="s">
        <v>225</v>
      </c>
      <c r="J15" s="13" t="s">
        <v>225</v>
      </c>
      <c r="K15" s="13" t="s">
        <v>225</v>
      </c>
      <c r="L15" s="13" t="s">
        <v>225</v>
      </c>
      <c r="M15" s="13" t="s">
        <v>225</v>
      </c>
      <c r="N15" s="13" t="s">
        <v>225</v>
      </c>
      <c r="O15" s="13" t="s">
        <v>225</v>
      </c>
      <c r="P15" s="13" t="s">
        <v>225</v>
      </c>
      <c r="Q15" s="13" t="s">
        <v>2293</v>
      </c>
      <c r="R15" s="13" t="s">
        <v>225</v>
      </c>
      <c r="S15" s="13" t="s">
        <v>225</v>
      </c>
      <c r="T15" s="13" t="s">
        <v>225</v>
      </c>
      <c r="U15" s="13" t="s">
        <v>225</v>
      </c>
      <c r="V15" s="13" t="s">
        <v>215</v>
      </c>
      <c r="W15" s="13" t="s">
        <v>225</v>
      </c>
      <c r="X15" s="13" t="s">
        <v>225</v>
      </c>
      <c r="Y15" s="13" t="s">
        <v>225</v>
      </c>
      <c r="Z15" s="13" t="s">
        <v>225</v>
      </c>
      <c r="AA15" s="17" t="s">
        <v>225</v>
      </c>
      <c r="AB15" s="13" t="s">
        <v>225</v>
      </c>
      <c r="AC15" s="13" t="s">
        <v>225</v>
      </c>
      <c r="AD15" s="13" t="s">
        <v>225</v>
      </c>
      <c r="AE15" s="13" t="s">
        <v>225</v>
      </c>
      <c r="AF15" t="s">
        <v>225</v>
      </c>
    </row>
    <row r="16" spans="1:32" ht="23.1" customHeight="1" x14ac:dyDescent="0.25">
      <c r="A16" s="15" t="s">
        <v>2478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5"/>
      <c r="AC16" s="15"/>
      <c r="AD16" s="15"/>
      <c r="AE16" s="15"/>
    </row>
    <row r="17" spans="1:32" ht="36" customHeight="1" x14ac:dyDescent="0.25">
      <c r="A17" s="14" t="s">
        <v>2479</v>
      </c>
      <c r="B17" s="13" t="s">
        <v>225</v>
      </c>
      <c r="C17" s="13" t="s">
        <v>215</v>
      </c>
      <c r="D17" s="13" t="s">
        <v>225</v>
      </c>
      <c r="E17" s="13" t="s">
        <v>215</v>
      </c>
      <c r="F17" s="13" t="s">
        <v>225</v>
      </c>
      <c r="G17" s="13"/>
      <c r="H17" s="13" t="s">
        <v>215</v>
      </c>
      <c r="I17" s="13" t="s">
        <v>215</v>
      </c>
      <c r="J17" s="13" t="s">
        <v>225</v>
      </c>
      <c r="K17" s="13" t="s">
        <v>215</v>
      </c>
      <c r="L17" s="13" t="s">
        <v>215</v>
      </c>
      <c r="M17" s="13" t="s">
        <v>215</v>
      </c>
      <c r="N17" s="13" t="s">
        <v>225</v>
      </c>
      <c r="O17" s="13" t="s">
        <v>215</v>
      </c>
      <c r="P17" s="13" t="s">
        <v>225</v>
      </c>
      <c r="Q17" s="13"/>
      <c r="R17" s="13"/>
      <c r="S17" s="13" t="s">
        <v>215</v>
      </c>
      <c r="T17" s="13" t="s">
        <v>225</v>
      </c>
      <c r="U17" s="13" t="s">
        <v>225</v>
      </c>
      <c r="V17" s="13" t="s">
        <v>215</v>
      </c>
      <c r="W17" s="13" t="s">
        <v>215</v>
      </c>
      <c r="X17" s="13" t="s">
        <v>215</v>
      </c>
      <c r="Y17" s="13" t="s">
        <v>215</v>
      </c>
      <c r="Z17" s="13" t="s">
        <v>215</v>
      </c>
      <c r="AA17" s="17" t="s">
        <v>225</v>
      </c>
      <c r="AB17" s="13" t="s">
        <v>215</v>
      </c>
      <c r="AC17" s="13" t="s">
        <v>225</v>
      </c>
      <c r="AD17" s="13" t="s">
        <v>215</v>
      </c>
      <c r="AE17" s="13" t="s">
        <v>215</v>
      </c>
    </row>
    <row r="18" spans="1:32" ht="36" customHeight="1" x14ac:dyDescent="0.25">
      <c r="A18" s="14" t="s">
        <v>2480</v>
      </c>
      <c r="B18" s="13" t="s">
        <v>534</v>
      </c>
      <c r="C18" s="13" t="s">
        <v>2368</v>
      </c>
      <c r="D18" s="13" t="s">
        <v>2369</v>
      </c>
      <c r="E18" s="13" t="s">
        <v>2370</v>
      </c>
      <c r="F18" s="13" t="s">
        <v>534</v>
      </c>
      <c r="G18" s="13" t="s">
        <v>2371</v>
      </c>
      <c r="H18" s="13" t="s">
        <v>2372</v>
      </c>
      <c r="I18" s="13" t="s">
        <v>2373</v>
      </c>
      <c r="J18" s="13" t="s">
        <v>534</v>
      </c>
      <c r="K18" s="13" t="s">
        <v>2374</v>
      </c>
      <c r="L18" s="13" t="s">
        <v>2375</v>
      </c>
      <c r="M18" s="13" t="s">
        <v>2376</v>
      </c>
      <c r="N18" s="13" t="s">
        <v>534</v>
      </c>
      <c r="O18" s="13" t="s">
        <v>2377</v>
      </c>
      <c r="P18" s="13" t="s">
        <v>2378</v>
      </c>
      <c r="Q18" s="13"/>
      <c r="R18" s="13" t="s">
        <v>2379</v>
      </c>
      <c r="S18" s="13" t="s">
        <v>2380</v>
      </c>
      <c r="T18" s="13" t="s">
        <v>534</v>
      </c>
      <c r="U18" s="13"/>
      <c r="V18" s="13" t="s">
        <v>2381</v>
      </c>
      <c r="W18" s="13" t="s">
        <v>2382</v>
      </c>
      <c r="X18" s="13" t="s">
        <v>562</v>
      </c>
      <c r="Y18" s="13" t="s">
        <v>562</v>
      </c>
      <c r="Z18" s="13" t="s">
        <v>2383</v>
      </c>
      <c r="AA18" s="17" t="s">
        <v>534</v>
      </c>
      <c r="AB18" s="13" t="s">
        <v>2384</v>
      </c>
      <c r="AC18" s="13" t="s">
        <v>534</v>
      </c>
      <c r="AD18" s="13" t="s">
        <v>2385</v>
      </c>
      <c r="AE18" s="13"/>
      <c r="AF18" t="s">
        <v>191</v>
      </c>
    </row>
    <row r="19" spans="1:32" ht="36" customHeight="1" x14ac:dyDescent="0.25">
      <c r="A19" s="14" t="s">
        <v>2481</v>
      </c>
      <c r="B19" s="13" t="s">
        <v>225</v>
      </c>
      <c r="C19" s="13" t="s">
        <v>215</v>
      </c>
      <c r="D19" s="13" t="s">
        <v>225</v>
      </c>
      <c r="E19" s="13" t="s">
        <v>215</v>
      </c>
      <c r="F19" s="13" t="s">
        <v>225</v>
      </c>
      <c r="G19" s="13"/>
      <c r="H19" s="13" t="s">
        <v>215</v>
      </c>
      <c r="I19" s="13" t="s">
        <v>215</v>
      </c>
      <c r="J19" s="13" t="s">
        <v>225</v>
      </c>
      <c r="K19" s="13" t="s">
        <v>215</v>
      </c>
      <c r="L19" s="13" t="s">
        <v>215</v>
      </c>
      <c r="M19" s="13" t="s">
        <v>215</v>
      </c>
      <c r="N19" s="13" t="s">
        <v>225</v>
      </c>
      <c r="O19" s="13" t="s">
        <v>215</v>
      </c>
      <c r="P19" s="13"/>
      <c r="Q19" s="13"/>
      <c r="R19" s="13" t="s">
        <v>215</v>
      </c>
      <c r="S19" s="13" t="s">
        <v>215</v>
      </c>
      <c r="T19" s="13" t="s">
        <v>225</v>
      </c>
      <c r="U19" s="13" t="s">
        <v>225</v>
      </c>
      <c r="V19" s="13" t="s">
        <v>215</v>
      </c>
      <c r="W19" s="13" t="s">
        <v>215</v>
      </c>
      <c r="X19" s="13" t="s">
        <v>215</v>
      </c>
      <c r="Y19" s="13" t="s">
        <v>215</v>
      </c>
      <c r="Z19" s="13" t="s">
        <v>215</v>
      </c>
      <c r="AA19" s="17" t="s">
        <v>225</v>
      </c>
      <c r="AB19" s="13" t="s">
        <v>215</v>
      </c>
      <c r="AC19" s="13" t="s">
        <v>225</v>
      </c>
      <c r="AD19" s="13" t="s">
        <v>215</v>
      </c>
      <c r="AE19" s="13" t="s">
        <v>215</v>
      </c>
    </row>
    <row r="20" spans="1:32" ht="36" customHeight="1" x14ac:dyDescent="0.25">
      <c r="A20" s="14" t="s">
        <v>2482</v>
      </c>
      <c r="B20" s="13" t="s">
        <v>534</v>
      </c>
      <c r="C20" s="13" t="s">
        <v>2387</v>
      </c>
      <c r="D20" s="13" t="s">
        <v>2369</v>
      </c>
      <c r="E20" s="13" t="s">
        <v>2370</v>
      </c>
      <c r="F20" s="13" t="s">
        <v>534</v>
      </c>
      <c r="G20" s="13" t="s">
        <v>2388</v>
      </c>
      <c r="H20" s="13" t="s">
        <v>2370</v>
      </c>
      <c r="I20" s="13" t="s">
        <v>2373</v>
      </c>
      <c r="J20" s="13" t="s">
        <v>534</v>
      </c>
      <c r="K20" s="13" t="s">
        <v>2389</v>
      </c>
      <c r="L20" s="13" t="s">
        <v>2390</v>
      </c>
      <c r="M20" s="13" t="s">
        <v>2391</v>
      </c>
      <c r="N20" s="13" t="s">
        <v>534</v>
      </c>
      <c r="O20" s="13" t="s">
        <v>2392</v>
      </c>
      <c r="P20" s="13"/>
      <c r="Q20" s="13"/>
      <c r="R20" s="13" t="s">
        <v>2393</v>
      </c>
      <c r="S20" s="13" t="s">
        <v>2394</v>
      </c>
      <c r="T20" s="13" t="s">
        <v>534</v>
      </c>
      <c r="U20" s="13"/>
      <c r="V20" s="13"/>
      <c r="W20" s="13" t="s">
        <v>2395</v>
      </c>
      <c r="X20" s="13" t="s">
        <v>2396</v>
      </c>
      <c r="Y20" s="13" t="s">
        <v>2397</v>
      </c>
      <c r="Z20" s="13" t="s">
        <v>2383</v>
      </c>
      <c r="AA20" s="17" t="s">
        <v>534</v>
      </c>
      <c r="AB20" s="13" t="s">
        <v>2384</v>
      </c>
      <c r="AC20" s="13" t="s">
        <v>2398</v>
      </c>
      <c r="AD20" s="13" t="s">
        <v>2385</v>
      </c>
      <c r="AE20" s="13" t="s">
        <v>568</v>
      </c>
      <c r="AF20" t="s">
        <v>191</v>
      </c>
    </row>
    <row r="21" spans="1:32" ht="36" customHeight="1" x14ac:dyDescent="0.25">
      <c r="A21" s="14" t="s">
        <v>2483</v>
      </c>
      <c r="B21" s="13" t="s">
        <v>2400</v>
      </c>
      <c r="C21" s="13" t="s">
        <v>2401</v>
      </c>
      <c r="D21" s="13" t="s">
        <v>2402</v>
      </c>
      <c r="E21" s="13" t="s">
        <v>2403</v>
      </c>
      <c r="F21" s="13" t="s">
        <v>228</v>
      </c>
      <c r="G21" s="13" t="s">
        <v>2404</v>
      </c>
      <c r="H21" s="13" t="s">
        <v>2405</v>
      </c>
      <c r="I21" s="13" t="s">
        <v>2406</v>
      </c>
      <c r="J21" s="13" t="s">
        <v>228</v>
      </c>
      <c r="K21" s="13" t="s">
        <v>2407</v>
      </c>
      <c r="L21" s="13" t="s">
        <v>2408</v>
      </c>
      <c r="M21" s="13" t="s">
        <v>2409</v>
      </c>
      <c r="N21" s="13" t="s">
        <v>228</v>
      </c>
      <c r="O21" s="13" t="s">
        <v>2410</v>
      </c>
      <c r="P21" s="13"/>
      <c r="Q21" s="13"/>
      <c r="R21" s="13"/>
      <c r="S21" s="13" t="s">
        <v>2411</v>
      </c>
      <c r="T21" s="13" t="s">
        <v>228</v>
      </c>
      <c r="U21" s="13"/>
      <c r="V21" s="13" t="s">
        <v>2412</v>
      </c>
      <c r="W21" s="13" t="s">
        <v>2413</v>
      </c>
      <c r="X21" s="13" t="s">
        <v>776</v>
      </c>
      <c r="Y21" s="13" t="s">
        <v>777</v>
      </c>
      <c r="Z21" s="13" t="s">
        <v>2414</v>
      </c>
      <c r="AA21" s="17" t="s">
        <v>228</v>
      </c>
      <c r="AB21" s="13" t="s">
        <v>2415</v>
      </c>
      <c r="AC21" s="13" t="s">
        <v>228</v>
      </c>
      <c r="AD21" s="13" t="s">
        <v>2416</v>
      </c>
      <c r="AE21" s="13" t="s">
        <v>2417</v>
      </c>
      <c r="AF21" t="s">
        <v>2418</v>
      </c>
    </row>
    <row r="22" spans="1:32" ht="36" customHeight="1" x14ac:dyDescent="0.25">
      <c r="A22" s="14" t="s">
        <v>2484</v>
      </c>
      <c r="B22" s="13" t="s">
        <v>2420</v>
      </c>
      <c r="C22" s="13" t="s">
        <v>2421</v>
      </c>
      <c r="D22" s="13" t="s">
        <v>2402</v>
      </c>
      <c r="E22" s="13" t="s">
        <v>2403</v>
      </c>
      <c r="F22" s="13" t="s">
        <v>228</v>
      </c>
      <c r="G22" s="13" t="s">
        <v>2422</v>
      </c>
      <c r="H22" s="13" t="s">
        <v>2423</v>
      </c>
      <c r="I22" s="13" t="s">
        <v>2406</v>
      </c>
      <c r="J22" s="13" t="s">
        <v>228</v>
      </c>
      <c r="K22" s="13" t="s">
        <v>2424</v>
      </c>
      <c r="L22" s="13" t="s">
        <v>2425</v>
      </c>
      <c r="M22" s="13" t="s">
        <v>2426</v>
      </c>
      <c r="N22" s="13" t="s">
        <v>228</v>
      </c>
      <c r="O22" s="13" t="s">
        <v>2427</v>
      </c>
      <c r="P22" s="13"/>
      <c r="Q22" s="13"/>
      <c r="R22" s="13" t="s">
        <v>2428</v>
      </c>
      <c r="S22" s="13" t="s">
        <v>2411</v>
      </c>
      <c r="T22" s="13" t="s">
        <v>228</v>
      </c>
      <c r="U22" s="13"/>
      <c r="V22" s="13" t="s">
        <v>2429</v>
      </c>
      <c r="W22" s="13" t="s">
        <v>2413</v>
      </c>
      <c r="X22" s="13" t="s">
        <v>776</v>
      </c>
      <c r="Y22" s="13" t="s">
        <v>777</v>
      </c>
      <c r="Z22" s="13" t="s">
        <v>2414</v>
      </c>
      <c r="AA22" s="17" t="s">
        <v>228</v>
      </c>
      <c r="AB22" s="13" t="s">
        <v>2415</v>
      </c>
      <c r="AC22" s="13" t="s">
        <v>228</v>
      </c>
      <c r="AD22" s="13" t="s">
        <v>2416</v>
      </c>
      <c r="AE22" s="13" t="s">
        <v>2417</v>
      </c>
      <c r="AF22" t="s">
        <v>2418</v>
      </c>
    </row>
    <row r="23" spans="1:32" ht="23.1" customHeight="1" x14ac:dyDescent="0.25">
      <c r="A23" s="15" t="s">
        <v>2485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15"/>
      <c r="AC23" s="15"/>
      <c r="AD23" s="15"/>
      <c r="AE23" s="15"/>
    </row>
    <row r="24" spans="1:32" ht="36" customHeight="1" x14ac:dyDescent="0.25">
      <c r="A24" s="14" t="s">
        <v>2486</v>
      </c>
      <c r="B24" s="13" t="s">
        <v>228</v>
      </c>
      <c r="C24" s="13" t="s">
        <v>215</v>
      </c>
      <c r="D24" s="13" t="s">
        <v>225</v>
      </c>
      <c r="E24" s="13" t="s">
        <v>215</v>
      </c>
      <c r="F24" s="13" t="s">
        <v>225</v>
      </c>
      <c r="G24" s="13" t="s">
        <v>215</v>
      </c>
      <c r="H24" s="13" t="s">
        <v>215</v>
      </c>
      <c r="I24" s="13" t="s">
        <v>215</v>
      </c>
      <c r="J24" s="13" t="s">
        <v>215</v>
      </c>
      <c r="K24" s="13" t="s">
        <v>215</v>
      </c>
      <c r="L24" s="13" t="s">
        <v>215</v>
      </c>
      <c r="M24" s="13" t="s">
        <v>215</v>
      </c>
      <c r="N24" s="13"/>
      <c r="O24" s="13"/>
      <c r="P24" s="13" t="s">
        <v>225</v>
      </c>
      <c r="Q24" s="13" t="s">
        <v>2454</v>
      </c>
      <c r="R24" s="13"/>
      <c r="S24" s="13"/>
      <c r="T24" s="13" t="s">
        <v>225</v>
      </c>
      <c r="U24" s="13"/>
      <c r="V24" s="13"/>
      <c r="W24" s="13"/>
      <c r="X24" s="13" t="s">
        <v>2456</v>
      </c>
      <c r="Y24" s="13"/>
      <c r="Z24" s="13" t="s">
        <v>215</v>
      </c>
      <c r="AA24" s="17" t="s">
        <v>225</v>
      </c>
      <c r="AB24" s="13"/>
      <c r="AC24" s="13" t="s">
        <v>225</v>
      </c>
      <c r="AD24" s="13" t="s">
        <v>215</v>
      </c>
      <c r="AE24" s="13" t="s">
        <v>225</v>
      </c>
      <c r="AF24" t="s">
        <v>2460</v>
      </c>
    </row>
    <row r="25" spans="1:32" ht="36" customHeight="1" x14ac:dyDescent="0.25">
      <c r="A25" s="14" t="s">
        <v>2468</v>
      </c>
      <c r="B25" s="13" t="s">
        <v>225</v>
      </c>
      <c r="C25" s="13"/>
      <c r="D25" s="13"/>
      <c r="E25" s="13"/>
      <c r="F25" s="13"/>
      <c r="G25" s="13"/>
      <c r="H25" s="13"/>
      <c r="I25" s="13" t="s">
        <v>215</v>
      </c>
      <c r="J25" s="13" t="s">
        <v>215</v>
      </c>
      <c r="K25" s="13"/>
      <c r="L25" s="13" t="s">
        <v>215</v>
      </c>
      <c r="M25" s="13" t="s">
        <v>215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228</v>
      </c>
      <c r="AB25" s="13"/>
      <c r="AC25" s="13"/>
      <c r="AD25" s="13"/>
      <c r="AE25" s="13"/>
      <c r="AF25" t="s">
        <v>2469</v>
      </c>
    </row>
    <row r="26" spans="1:32" ht="36" customHeight="1" x14ac:dyDescent="0.25">
      <c r="A26" s="14" t="s">
        <v>2487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 t="s">
        <v>215</v>
      </c>
      <c r="M26" s="13" t="s">
        <v>215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7" t="s">
        <v>228</v>
      </c>
      <c r="AB26" s="13"/>
      <c r="AC26" s="13"/>
      <c r="AD26" s="13"/>
      <c r="AE26" s="13"/>
      <c r="AF26" t="s">
        <v>2488</v>
      </c>
    </row>
    <row r="27" spans="1:32" ht="36" customHeight="1" x14ac:dyDescent="0.25">
      <c r="A27" s="14" t="s">
        <v>2489</v>
      </c>
      <c r="B27" s="13"/>
      <c r="C27" s="13" t="s">
        <v>215</v>
      </c>
      <c r="D27" s="13"/>
      <c r="E27" s="13" t="s">
        <v>215</v>
      </c>
      <c r="F27" s="13"/>
      <c r="G27" s="13" t="s">
        <v>215</v>
      </c>
      <c r="H27" s="13"/>
      <c r="I27" s="13" t="s">
        <v>225</v>
      </c>
      <c r="J27" s="13"/>
      <c r="K27" s="13" t="s">
        <v>215</v>
      </c>
      <c r="L27" s="13" t="s">
        <v>215</v>
      </c>
      <c r="M27" s="13" t="s">
        <v>215</v>
      </c>
      <c r="N27" s="13" t="s">
        <v>225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 t="s">
        <v>228</v>
      </c>
      <c r="AB27" s="13"/>
      <c r="AC27" s="13"/>
      <c r="AD27" s="13"/>
      <c r="AE27" s="13"/>
      <c r="AF27" t="s">
        <v>2490</v>
      </c>
    </row>
    <row r="28" spans="1:32" ht="36" customHeight="1" x14ac:dyDescent="0.25">
      <c r="A28" s="14" t="s">
        <v>2491</v>
      </c>
      <c r="B28" s="13"/>
      <c r="C28" s="13" t="s">
        <v>215</v>
      </c>
      <c r="D28" s="13"/>
      <c r="E28" s="13" t="s">
        <v>215</v>
      </c>
      <c r="F28" s="13"/>
      <c r="G28" s="13"/>
      <c r="H28" s="13"/>
      <c r="I28" s="13"/>
      <c r="J28" s="13"/>
      <c r="K28" s="13"/>
      <c r="L28" s="13" t="s">
        <v>215</v>
      </c>
      <c r="M28" s="13" t="s">
        <v>215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 t="s">
        <v>228</v>
      </c>
      <c r="AB28" s="13"/>
      <c r="AC28" s="13"/>
      <c r="AD28" s="13"/>
      <c r="AE28" s="13"/>
      <c r="AF28" t="s">
        <v>2492</v>
      </c>
    </row>
    <row r="29" spans="1:32" ht="36" customHeight="1" x14ac:dyDescent="0.25">
      <c r="A29" s="14" t="s">
        <v>2493</v>
      </c>
      <c r="B29" s="13"/>
      <c r="C29" s="13" t="s">
        <v>2163</v>
      </c>
      <c r="D29" s="13"/>
      <c r="E29" s="13" t="s">
        <v>2163</v>
      </c>
      <c r="F29" s="13"/>
      <c r="G29" s="13"/>
      <c r="H29" s="13"/>
      <c r="I29" s="13"/>
      <c r="J29" s="13"/>
      <c r="K29" s="13"/>
      <c r="L29" s="13" t="s">
        <v>2163</v>
      </c>
      <c r="M29" s="13" t="s">
        <v>2163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 t="s">
        <v>228</v>
      </c>
      <c r="AB29" s="13"/>
      <c r="AC29" s="13"/>
      <c r="AD29" s="13"/>
      <c r="AE29" s="13"/>
      <c r="AF29" t="s">
        <v>2494</v>
      </c>
    </row>
    <row r="30" spans="1:32" ht="36" customHeight="1" x14ac:dyDescent="0.25">
      <c r="A30" s="14" t="s">
        <v>2495</v>
      </c>
      <c r="B30" s="13" t="s">
        <v>2431</v>
      </c>
      <c r="C30" s="13" t="s">
        <v>2432</v>
      </c>
      <c r="D30" s="13" t="s">
        <v>2433</v>
      </c>
      <c r="E30" s="13" t="s">
        <v>2434</v>
      </c>
      <c r="F30" s="13" t="s">
        <v>2435</v>
      </c>
      <c r="G30" s="13" t="s">
        <v>2436</v>
      </c>
      <c r="H30" s="13" t="s">
        <v>2432</v>
      </c>
      <c r="I30" s="13" t="s">
        <v>2437</v>
      </c>
      <c r="J30" s="13" t="s">
        <v>2437</v>
      </c>
      <c r="K30" s="13" t="s">
        <v>2434</v>
      </c>
      <c r="L30" s="13" t="s">
        <v>2434</v>
      </c>
      <c r="M30" s="13" t="s">
        <v>2434</v>
      </c>
      <c r="N30" s="13" t="s">
        <v>2437</v>
      </c>
      <c r="O30" s="13" t="s">
        <v>2438</v>
      </c>
      <c r="P30" s="13" t="s">
        <v>228</v>
      </c>
      <c r="Q30" s="13" t="s">
        <v>2434</v>
      </c>
      <c r="R30" s="13" t="s">
        <v>2439</v>
      </c>
      <c r="S30" s="13"/>
      <c r="T30" s="13" t="s">
        <v>228</v>
      </c>
      <c r="U30" s="13" t="s">
        <v>2437</v>
      </c>
      <c r="V30" s="13" t="s">
        <v>2432</v>
      </c>
      <c r="W30" s="13" t="s">
        <v>2432</v>
      </c>
      <c r="X30" s="13" t="s">
        <v>2440</v>
      </c>
      <c r="Y30" s="13" t="s">
        <v>2434</v>
      </c>
      <c r="Z30" s="13" t="s">
        <v>2434</v>
      </c>
      <c r="AA30" s="17" t="s">
        <v>228</v>
      </c>
      <c r="AB30" s="13" t="s">
        <v>2434</v>
      </c>
      <c r="AC30" s="13" t="s">
        <v>228</v>
      </c>
      <c r="AD30" s="13" t="s">
        <v>2441</v>
      </c>
      <c r="AE30" s="13" t="s">
        <v>228</v>
      </c>
      <c r="AF30" t="s">
        <v>2442</v>
      </c>
    </row>
    <row r="31" spans="1:32" ht="23.1" customHeight="1" x14ac:dyDescent="0.25">
      <c r="A31" s="15" t="s">
        <v>1623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15"/>
      <c r="AC31" s="15"/>
      <c r="AD31" s="15"/>
      <c r="AE31" s="15"/>
    </row>
    <row r="32" spans="1:32" ht="36" customHeight="1" x14ac:dyDescent="0.25">
      <c r="A32" s="14" t="s">
        <v>2496</v>
      </c>
      <c r="B32" s="13" t="s">
        <v>571</v>
      </c>
      <c r="C32" s="13" t="s">
        <v>572</v>
      </c>
      <c r="D32" s="13" t="s">
        <v>573</v>
      </c>
      <c r="E32" s="13" t="s">
        <v>574</v>
      </c>
      <c r="F32" s="13" t="s">
        <v>575</v>
      </c>
      <c r="G32" s="13" t="s">
        <v>576</v>
      </c>
      <c r="H32" s="13" t="s">
        <v>577</v>
      </c>
      <c r="I32" s="13" t="s">
        <v>578</v>
      </c>
      <c r="J32" s="13" t="s">
        <v>579</v>
      </c>
      <c r="K32" s="13" t="s">
        <v>580</v>
      </c>
      <c r="L32" s="13" t="s">
        <v>581</v>
      </c>
      <c r="M32" s="13" t="s">
        <v>582</v>
      </c>
      <c r="N32" s="13" t="s">
        <v>583</v>
      </c>
      <c r="O32" s="13" t="s">
        <v>584</v>
      </c>
      <c r="P32" s="13" t="s">
        <v>585</v>
      </c>
      <c r="Q32" s="13" t="s">
        <v>586</v>
      </c>
      <c r="R32" s="13" t="s">
        <v>587</v>
      </c>
      <c r="S32" s="13" t="s">
        <v>588</v>
      </c>
      <c r="T32" s="13" t="s">
        <v>589</v>
      </c>
      <c r="U32" s="13" t="s">
        <v>590</v>
      </c>
      <c r="V32" s="13" t="s">
        <v>591</v>
      </c>
      <c r="W32" s="13" t="s">
        <v>592</v>
      </c>
      <c r="X32" s="13" t="s">
        <v>593</v>
      </c>
      <c r="Y32" s="13" t="s">
        <v>594</v>
      </c>
      <c r="Z32" s="13" t="s">
        <v>595</v>
      </c>
      <c r="AA32" s="17" t="s">
        <v>596</v>
      </c>
      <c r="AB32" s="13" t="s">
        <v>597</v>
      </c>
      <c r="AC32" s="13" t="s">
        <v>598</v>
      </c>
      <c r="AD32" s="13" t="s">
        <v>599</v>
      </c>
      <c r="AE32" s="13" t="s">
        <v>600</v>
      </c>
      <c r="AF32" t="s">
        <v>2462</v>
      </c>
    </row>
    <row r="33" spans="1:32" ht="23.1" customHeight="1" x14ac:dyDescent="0.25">
      <c r="A33" s="15" t="s">
        <v>2497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15"/>
      <c r="AC33" s="15"/>
      <c r="AD33" s="15"/>
      <c r="AE33" s="15"/>
    </row>
    <row r="34" spans="1:32" ht="36" customHeight="1" x14ac:dyDescent="0.25">
      <c r="A34" s="14" t="s">
        <v>2498</v>
      </c>
      <c r="B34" s="13" t="s">
        <v>2499</v>
      </c>
      <c r="C34" s="13"/>
      <c r="D34" s="13"/>
      <c r="E34" s="13"/>
      <c r="F34" s="13"/>
      <c r="G34" s="13"/>
      <c r="H34" s="13"/>
      <c r="I34" s="13"/>
      <c r="J34" s="13"/>
      <c r="K34" s="13"/>
      <c r="L34" s="13" t="s">
        <v>215</v>
      </c>
      <c r="M34" s="13" t="s">
        <v>215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 t="s">
        <v>2500</v>
      </c>
      <c r="AB34" s="13"/>
      <c r="AC34" s="13"/>
      <c r="AD34" s="13"/>
      <c r="AE34" s="13"/>
      <c r="AF34" t="s">
        <v>2501</v>
      </c>
    </row>
    <row r="35" spans="1:32" ht="36" customHeight="1" x14ac:dyDescent="0.25">
      <c r="A35" s="14" t="s">
        <v>2502</v>
      </c>
      <c r="B35" s="13" t="s">
        <v>2499</v>
      </c>
      <c r="C35" s="13"/>
      <c r="D35" s="13"/>
      <c r="E35" s="13"/>
      <c r="F35" s="13"/>
      <c r="G35" s="13"/>
      <c r="H35" s="13"/>
      <c r="I35" s="13"/>
      <c r="J35" s="13"/>
      <c r="K35" s="13"/>
      <c r="L35" s="13" t="s">
        <v>215</v>
      </c>
      <c r="M35" s="13" t="s">
        <v>215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228</v>
      </c>
      <c r="AB35" s="13"/>
      <c r="AC35" s="13"/>
      <c r="AD35" s="13"/>
      <c r="AE35" s="13"/>
      <c r="AF35" t="s">
        <v>2501</v>
      </c>
    </row>
    <row r="36" spans="1:32" ht="36" customHeight="1" x14ac:dyDescent="0.25">
      <c r="A36" s="14" t="s">
        <v>2503</v>
      </c>
      <c r="B36" s="13"/>
      <c r="C36" s="13"/>
      <c r="D36" s="13"/>
      <c r="E36" s="13"/>
      <c r="F36" s="13"/>
      <c r="G36" s="13"/>
      <c r="H36" s="13"/>
      <c r="I36" s="13"/>
      <c r="J36" s="13"/>
      <c r="K36" s="13" t="s">
        <v>215</v>
      </c>
      <c r="L36" s="13" t="s">
        <v>215</v>
      </c>
      <c r="M36" s="13" t="s">
        <v>215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2504</v>
      </c>
      <c r="AB36" s="13"/>
      <c r="AC36" s="13"/>
      <c r="AD36" s="13"/>
      <c r="AE36" s="13"/>
      <c r="AF36" t="s">
        <v>2505</v>
      </c>
    </row>
    <row r="37" spans="1:32" ht="36" customHeight="1" x14ac:dyDescent="0.25">
      <c r="A37" s="14" t="s">
        <v>2506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 t="s">
        <v>215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 t="s">
        <v>228</v>
      </c>
      <c r="AB37" s="13"/>
      <c r="AC37" s="13"/>
      <c r="AD37" s="13"/>
      <c r="AE37" s="13"/>
      <c r="AF37" t="s">
        <v>2507</v>
      </c>
    </row>
    <row r="38" spans="1:32" ht="36" customHeight="1" x14ac:dyDescent="0.25">
      <c r="A38" s="14" t="s">
        <v>2508</v>
      </c>
      <c r="B38" s="13"/>
      <c r="C38" s="13"/>
      <c r="D38" s="13"/>
      <c r="E38" s="13"/>
      <c r="F38" s="13"/>
      <c r="G38" s="13"/>
      <c r="H38" s="13"/>
      <c r="I38" s="13"/>
      <c r="J38" s="13"/>
      <c r="K38" s="13" t="s">
        <v>2509</v>
      </c>
      <c r="L38" s="13" t="s">
        <v>2510</v>
      </c>
      <c r="M38" s="13" t="s">
        <v>2510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 t="s">
        <v>228</v>
      </c>
      <c r="AB38" s="13"/>
      <c r="AC38" s="13"/>
      <c r="AD38" s="13"/>
      <c r="AE38" s="13"/>
      <c r="AF38" t="s">
        <v>2511</v>
      </c>
    </row>
  </sheetData>
  <mergeCells count="1">
    <mergeCell ref="A1:A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25"/>
  <sheetViews>
    <sheetView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A25" sqref="AA25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Directory'!A1","Client &amp; Distribution"),"Client &amp; Distribution")</f>
        <v>Client &amp; Distribution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2512</v>
      </c>
      <c r="B3" s="13" t="s">
        <v>215</v>
      </c>
      <c r="C3" s="13" t="s">
        <v>2513</v>
      </c>
      <c r="D3" s="13" t="s">
        <v>215</v>
      </c>
      <c r="E3" s="13" t="s">
        <v>215</v>
      </c>
      <c r="F3" s="13" t="s">
        <v>2514</v>
      </c>
      <c r="G3" s="13" t="s">
        <v>2515</v>
      </c>
      <c r="H3" s="13" t="s">
        <v>2516</v>
      </c>
      <c r="I3" s="13" t="s">
        <v>2517</v>
      </c>
      <c r="J3" s="13" t="s">
        <v>2518</v>
      </c>
      <c r="K3" s="13" t="s">
        <v>215</v>
      </c>
      <c r="L3" s="13" t="s">
        <v>215</v>
      </c>
      <c r="M3" s="13" t="s">
        <v>215</v>
      </c>
      <c r="N3" s="13" t="s">
        <v>215</v>
      </c>
      <c r="O3" s="13" t="s">
        <v>215</v>
      </c>
      <c r="P3" s="13" t="s">
        <v>215</v>
      </c>
      <c r="Q3" s="13" t="s">
        <v>215</v>
      </c>
      <c r="R3" s="13"/>
      <c r="S3" s="13" t="s">
        <v>215</v>
      </c>
      <c r="T3" s="13" t="s">
        <v>215</v>
      </c>
      <c r="U3" s="13" t="s">
        <v>215</v>
      </c>
      <c r="V3" s="13" t="s">
        <v>2519</v>
      </c>
      <c r="W3" s="13" t="s">
        <v>215</v>
      </c>
      <c r="X3" s="13" t="s">
        <v>215</v>
      </c>
      <c r="Y3" s="13" t="s">
        <v>2520</v>
      </c>
      <c r="Z3" s="13" t="s">
        <v>215</v>
      </c>
      <c r="AA3" s="17" t="s">
        <v>215</v>
      </c>
      <c r="AB3" s="13" t="s">
        <v>215</v>
      </c>
      <c r="AC3" s="13" t="s">
        <v>215</v>
      </c>
      <c r="AD3" s="13" t="s">
        <v>215</v>
      </c>
      <c r="AE3" s="13" t="s">
        <v>215</v>
      </c>
      <c r="AF3" t="s">
        <v>215</v>
      </c>
    </row>
    <row r="4" spans="1:32" ht="36" customHeight="1" x14ac:dyDescent="0.25">
      <c r="A4" s="14" t="s">
        <v>2521</v>
      </c>
      <c r="B4" s="13" t="s">
        <v>215</v>
      </c>
      <c r="C4" s="13" t="s">
        <v>2522</v>
      </c>
      <c r="D4" s="13" t="s">
        <v>2523</v>
      </c>
      <c r="E4" s="13" t="s">
        <v>215</v>
      </c>
      <c r="F4" s="13" t="s">
        <v>215</v>
      </c>
      <c r="G4" s="13" t="s">
        <v>2515</v>
      </c>
      <c r="H4" s="13" t="s">
        <v>2524</v>
      </c>
      <c r="I4" s="13" t="s">
        <v>215</v>
      </c>
      <c r="J4" s="13" t="s">
        <v>215</v>
      </c>
      <c r="K4" s="13" t="s">
        <v>215</v>
      </c>
      <c r="L4" s="13" t="s">
        <v>215</v>
      </c>
      <c r="M4" s="13" t="s">
        <v>215</v>
      </c>
      <c r="N4" s="13" t="s">
        <v>215</v>
      </c>
      <c r="O4" s="13" t="s">
        <v>215</v>
      </c>
      <c r="P4" s="13" t="s">
        <v>215</v>
      </c>
      <c r="Q4" s="13"/>
      <c r="R4" s="13" t="s">
        <v>215</v>
      </c>
      <c r="S4" s="13" t="s">
        <v>215</v>
      </c>
      <c r="T4" s="13"/>
      <c r="U4" s="13"/>
      <c r="V4" s="13" t="s">
        <v>2525</v>
      </c>
      <c r="W4" s="13"/>
      <c r="X4" s="13"/>
      <c r="Y4" s="13" t="s">
        <v>215</v>
      </c>
      <c r="Z4" s="13" t="s">
        <v>215</v>
      </c>
      <c r="AA4" s="17" t="s">
        <v>5836</v>
      </c>
      <c r="AB4" s="13" t="s">
        <v>215</v>
      </c>
      <c r="AC4" s="13" t="s">
        <v>215</v>
      </c>
      <c r="AD4" s="13" t="s">
        <v>2526</v>
      </c>
      <c r="AE4" s="13" t="s">
        <v>215</v>
      </c>
      <c r="AF4" t="s">
        <v>215</v>
      </c>
    </row>
    <row r="5" spans="1:32" ht="36" customHeight="1" x14ac:dyDescent="0.25">
      <c r="A5" s="14" t="s">
        <v>2527</v>
      </c>
      <c r="B5" s="13" t="s">
        <v>2528</v>
      </c>
      <c r="C5" s="13" t="s">
        <v>2529</v>
      </c>
      <c r="D5" s="13" t="s">
        <v>2530</v>
      </c>
      <c r="E5" s="13" t="s">
        <v>2528</v>
      </c>
      <c r="F5" s="13"/>
      <c r="G5" s="13" t="s">
        <v>2531</v>
      </c>
      <c r="H5" s="13"/>
      <c r="I5" s="13" t="s">
        <v>2532</v>
      </c>
      <c r="J5" s="13" t="s">
        <v>2533</v>
      </c>
      <c r="K5" s="13" t="s">
        <v>2528</v>
      </c>
      <c r="L5" s="13" t="s">
        <v>2528</v>
      </c>
      <c r="M5" s="13" t="s">
        <v>2528</v>
      </c>
      <c r="N5" s="13" t="s">
        <v>2534</v>
      </c>
      <c r="O5" s="13" t="s">
        <v>2528</v>
      </c>
      <c r="P5" s="13"/>
      <c r="Q5" s="13"/>
      <c r="R5" s="13"/>
      <c r="S5" s="13" t="s">
        <v>2535</v>
      </c>
      <c r="T5" s="13"/>
      <c r="U5" s="13" t="s">
        <v>2536</v>
      </c>
      <c r="V5" s="13" t="s">
        <v>2537</v>
      </c>
      <c r="W5" s="13" t="s">
        <v>2538</v>
      </c>
      <c r="X5" s="13"/>
      <c r="Y5" s="13" t="s">
        <v>2539</v>
      </c>
      <c r="Z5" s="13"/>
      <c r="AA5" s="17" t="s">
        <v>5837</v>
      </c>
      <c r="AB5" s="13"/>
      <c r="AC5" s="13"/>
      <c r="AD5" s="13" t="s">
        <v>2540</v>
      </c>
      <c r="AE5" s="13" t="s">
        <v>2541</v>
      </c>
      <c r="AF5" t="s">
        <v>2542</v>
      </c>
    </row>
    <row r="6" spans="1:32" ht="36" customHeight="1" x14ac:dyDescent="0.25">
      <c r="A6" s="14" t="s">
        <v>2543</v>
      </c>
      <c r="B6" s="13" t="s">
        <v>215</v>
      </c>
      <c r="C6" s="13" t="s">
        <v>215</v>
      </c>
      <c r="D6" s="13" t="s">
        <v>2544</v>
      </c>
      <c r="E6" s="13" t="s">
        <v>215</v>
      </c>
      <c r="F6" s="13" t="s">
        <v>215</v>
      </c>
      <c r="G6" s="13" t="s">
        <v>2545</v>
      </c>
      <c r="H6" s="13" t="s">
        <v>251</v>
      </c>
      <c r="I6" s="13" t="s">
        <v>215</v>
      </c>
      <c r="J6" s="13" t="s">
        <v>215</v>
      </c>
      <c r="K6" s="13" t="s">
        <v>215</v>
      </c>
      <c r="L6" s="13" t="s">
        <v>215</v>
      </c>
      <c r="M6" s="13" t="s">
        <v>215</v>
      </c>
      <c r="N6" s="13" t="s">
        <v>215</v>
      </c>
      <c r="O6" s="13" t="s">
        <v>215</v>
      </c>
      <c r="P6" s="13" t="s">
        <v>215</v>
      </c>
      <c r="Q6" s="13" t="s">
        <v>2546</v>
      </c>
      <c r="R6" s="13" t="s">
        <v>215</v>
      </c>
      <c r="S6" s="13" t="s">
        <v>215</v>
      </c>
      <c r="T6" s="13"/>
      <c r="U6" s="13" t="s">
        <v>2547</v>
      </c>
      <c r="V6" s="13" t="s">
        <v>2546</v>
      </c>
      <c r="W6" s="13" t="s">
        <v>2546</v>
      </c>
      <c r="X6" s="13" t="s">
        <v>2546</v>
      </c>
      <c r="Y6" s="13" t="s">
        <v>215</v>
      </c>
      <c r="Z6" s="13" t="s">
        <v>215</v>
      </c>
      <c r="AA6" s="17" t="s">
        <v>215</v>
      </c>
      <c r="AB6" s="13" t="s">
        <v>215</v>
      </c>
      <c r="AC6" s="13" t="s">
        <v>215</v>
      </c>
      <c r="AD6" s="13" t="s">
        <v>215</v>
      </c>
      <c r="AE6" s="13" t="s">
        <v>215</v>
      </c>
      <c r="AF6" t="s">
        <v>215</v>
      </c>
    </row>
    <row r="7" spans="1:32" ht="36" customHeight="1" x14ac:dyDescent="0.25">
      <c r="A7" s="14" t="s">
        <v>2548</v>
      </c>
      <c r="B7" s="13" t="s">
        <v>215</v>
      </c>
      <c r="C7" s="13" t="s">
        <v>215</v>
      </c>
      <c r="D7" s="13" t="s">
        <v>2544</v>
      </c>
      <c r="E7" s="13" t="s">
        <v>215</v>
      </c>
      <c r="F7" s="13" t="s">
        <v>215</v>
      </c>
      <c r="G7" s="13" t="s">
        <v>2545</v>
      </c>
      <c r="H7" s="13" t="s">
        <v>251</v>
      </c>
      <c r="I7" s="13" t="s">
        <v>215</v>
      </c>
      <c r="J7" s="13" t="s">
        <v>215</v>
      </c>
      <c r="K7" s="13" t="s">
        <v>215</v>
      </c>
      <c r="L7" s="13" t="s">
        <v>215</v>
      </c>
      <c r="M7" s="13" t="s">
        <v>215</v>
      </c>
      <c r="N7" s="13" t="s">
        <v>215</v>
      </c>
      <c r="O7" s="13" t="s">
        <v>215</v>
      </c>
      <c r="P7" s="13" t="s">
        <v>215</v>
      </c>
      <c r="Q7" s="13" t="s">
        <v>2546</v>
      </c>
      <c r="R7" s="13"/>
      <c r="S7" s="13" t="s">
        <v>215</v>
      </c>
      <c r="T7" s="13"/>
      <c r="U7" s="13" t="s">
        <v>2547</v>
      </c>
      <c r="V7" s="13" t="s">
        <v>2546</v>
      </c>
      <c r="W7" s="13" t="s">
        <v>2546</v>
      </c>
      <c r="X7" s="13" t="s">
        <v>2546</v>
      </c>
      <c r="Y7" s="13" t="s">
        <v>215</v>
      </c>
      <c r="Z7" s="13"/>
      <c r="AA7" s="17" t="s">
        <v>215</v>
      </c>
      <c r="AB7" s="13" t="s">
        <v>215</v>
      </c>
      <c r="AC7" s="13" t="s">
        <v>215</v>
      </c>
      <c r="AD7" s="13" t="s">
        <v>2546</v>
      </c>
      <c r="AE7" s="13"/>
      <c r="AF7" t="s">
        <v>215</v>
      </c>
    </row>
    <row r="8" spans="1:32" ht="36" customHeight="1" x14ac:dyDescent="0.25">
      <c r="A8" s="14" t="s">
        <v>2549</v>
      </c>
      <c r="B8" s="13" t="s">
        <v>215</v>
      </c>
      <c r="C8" s="13" t="s">
        <v>215</v>
      </c>
      <c r="D8" s="13" t="s">
        <v>2544</v>
      </c>
      <c r="E8" s="13" t="s">
        <v>2550</v>
      </c>
      <c r="F8" s="13"/>
      <c r="G8" s="13" t="s">
        <v>2545</v>
      </c>
      <c r="H8" s="13" t="s">
        <v>251</v>
      </c>
      <c r="I8" s="13" t="s">
        <v>215</v>
      </c>
      <c r="J8" s="13" t="s">
        <v>215</v>
      </c>
      <c r="K8" s="13" t="s">
        <v>215</v>
      </c>
      <c r="L8" s="13" t="s">
        <v>215</v>
      </c>
      <c r="M8" s="13" t="s">
        <v>215</v>
      </c>
      <c r="N8" s="13" t="s">
        <v>215</v>
      </c>
      <c r="O8" s="13" t="s">
        <v>215</v>
      </c>
      <c r="P8" s="13" t="s">
        <v>215</v>
      </c>
      <c r="Q8" s="13" t="s">
        <v>2546</v>
      </c>
      <c r="R8" s="13" t="s">
        <v>2551</v>
      </c>
      <c r="S8" s="13" t="s">
        <v>215</v>
      </c>
      <c r="T8" s="13"/>
      <c r="U8" s="13" t="s">
        <v>2547</v>
      </c>
      <c r="V8" s="13" t="s">
        <v>2546</v>
      </c>
      <c r="W8" s="13" t="s">
        <v>2546</v>
      </c>
      <c r="X8" s="13" t="s">
        <v>2546</v>
      </c>
      <c r="Y8" s="13" t="s">
        <v>215</v>
      </c>
      <c r="Z8" s="13" t="s">
        <v>215</v>
      </c>
      <c r="AA8" s="17" t="s">
        <v>215</v>
      </c>
      <c r="AB8" s="13" t="s">
        <v>215</v>
      </c>
      <c r="AC8" s="13" t="s">
        <v>215</v>
      </c>
      <c r="AD8" s="13" t="s">
        <v>2546</v>
      </c>
      <c r="AE8" s="13" t="s">
        <v>215</v>
      </c>
      <c r="AF8" t="s">
        <v>215</v>
      </c>
    </row>
    <row r="9" spans="1:32" ht="36" customHeight="1" x14ac:dyDescent="0.25">
      <c r="A9" s="14" t="s">
        <v>2552</v>
      </c>
      <c r="B9" s="13" t="s">
        <v>2553</v>
      </c>
      <c r="C9" s="13" t="s">
        <v>2554</v>
      </c>
      <c r="D9" s="13"/>
      <c r="E9" s="13" t="s">
        <v>2555</v>
      </c>
      <c r="F9" s="13" t="s">
        <v>2556</v>
      </c>
      <c r="G9" s="13" t="s">
        <v>2545</v>
      </c>
      <c r="H9" s="13" t="s">
        <v>251</v>
      </c>
      <c r="I9" s="13" t="s">
        <v>2557</v>
      </c>
      <c r="J9" s="13" t="s">
        <v>215</v>
      </c>
      <c r="K9" s="13" t="s">
        <v>215</v>
      </c>
      <c r="L9" s="13" t="s">
        <v>215</v>
      </c>
      <c r="M9" s="13" t="s">
        <v>215</v>
      </c>
      <c r="N9" s="13" t="s">
        <v>215</v>
      </c>
      <c r="O9" s="13" t="s">
        <v>2558</v>
      </c>
      <c r="P9" s="13" t="s">
        <v>2559</v>
      </c>
      <c r="Q9" s="13" t="s">
        <v>2269</v>
      </c>
      <c r="R9" s="13"/>
      <c r="S9" s="13" t="s">
        <v>2560</v>
      </c>
      <c r="T9" s="13"/>
      <c r="U9" s="13" t="s">
        <v>2561</v>
      </c>
      <c r="V9" s="13" t="s">
        <v>2546</v>
      </c>
      <c r="W9" s="13" t="s">
        <v>2546</v>
      </c>
      <c r="X9" s="13" t="s">
        <v>215</v>
      </c>
      <c r="Y9" s="13" t="s">
        <v>2562</v>
      </c>
      <c r="Z9" s="13" t="s">
        <v>2563</v>
      </c>
      <c r="AA9" s="17" t="s">
        <v>5838</v>
      </c>
      <c r="AB9" s="13" t="s">
        <v>2564</v>
      </c>
      <c r="AC9" s="13" t="s">
        <v>2558</v>
      </c>
      <c r="AD9" s="13" t="s">
        <v>2558</v>
      </c>
      <c r="AE9" s="13" t="s">
        <v>496</v>
      </c>
      <c r="AF9" t="s">
        <v>215</v>
      </c>
    </row>
    <row r="10" spans="1:32" ht="36" customHeight="1" x14ac:dyDescent="0.25">
      <c r="A10" s="14" t="s">
        <v>2565</v>
      </c>
      <c r="B10" s="13" t="s">
        <v>2566</v>
      </c>
      <c r="C10" s="13" t="s">
        <v>215</v>
      </c>
      <c r="D10" s="13"/>
      <c r="E10" s="13" t="s">
        <v>2567</v>
      </c>
      <c r="F10" s="13" t="s">
        <v>2566</v>
      </c>
      <c r="G10" s="13" t="s">
        <v>2545</v>
      </c>
      <c r="H10" s="13" t="s">
        <v>251</v>
      </c>
      <c r="I10" s="13" t="s">
        <v>2557</v>
      </c>
      <c r="J10" s="13" t="s">
        <v>215</v>
      </c>
      <c r="K10" s="13" t="s">
        <v>215</v>
      </c>
      <c r="L10" s="13" t="s">
        <v>215</v>
      </c>
      <c r="M10" s="13" t="s">
        <v>215</v>
      </c>
      <c r="N10" s="13" t="s">
        <v>215</v>
      </c>
      <c r="O10" s="13" t="s">
        <v>2568</v>
      </c>
      <c r="P10" s="13" t="s">
        <v>2569</v>
      </c>
      <c r="Q10" s="13" t="s">
        <v>2269</v>
      </c>
      <c r="R10" s="13"/>
      <c r="S10" s="13" t="s">
        <v>2560</v>
      </c>
      <c r="T10" s="13"/>
      <c r="U10" s="13" t="s">
        <v>2561</v>
      </c>
      <c r="V10" s="13" t="s">
        <v>2546</v>
      </c>
      <c r="W10" s="13" t="s">
        <v>2546</v>
      </c>
      <c r="X10" s="13" t="s">
        <v>2570</v>
      </c>
      <c r="Y10" s="13" t="s">
        <v>2571</v>
      </c>
      <c r="Z10" s="13"/>
      <c r="AA10" s="17" t="s">
        <v>5839</v>
      </c>
      <c r="AB10" s="13" t="s">
        <v>2572</v>
      </c>
      <c r="AC10" s="13" t="s">
        <v>2569</v>
      </c>
      <c r="AD10" s="13"/>
      <c r="AE10" s="13" t="s">
        <v>496</v>
      </c>
      <c r="AF10" t="s">
        <v>215</v>
      </c>
    </row>
    <row r="11" spans="1:32" ht="36" customHeight="1" x14ac:dyDescent="0.25">
      <c r="A11" s="14" t="s">
        <v>2573</v>
      </c>
      <c r="B11" s="13" t="s">
        <v>2574</v>
      </c>
      <c r="C11" s="13" t="s">
        <v>215</v>
      </c>
      <c r="D11" s="13" t="s">
        <v>215</v>
      </c>
      <c r="E11" s="13" t="s">
        <v>215</v>
      </c>
      <c r="F11" s="13"/>
      <c r="G11" s="13" t="s">
        <v>2575</v>
      </c>
      <c r="H11" s="13"/>
      <c r="I11" s="13" t="s">
        <v>225</v>
      </c>
      <c r="J11" s="13"/>
      <c r="K11" s="13" t="s">
        <v>215</v>
      </c>
      <c r="L11" s="13" t="s">
        <v>2576</v>
      </c>
      <c r="M11" s="13" t="s">
        <v>215</v>
      </c>
      <c r="N11" s="13" t="s">
        <v>2576</v>
      </c>
      <c r="O11" s="13" t="s">
        <v>2538</v>
      </c>
      <c r="P11" s="13" t="s">
        <v>215</v>
      </c>
      <c r="Q11" s="13" t="s">
        <v>215</v>
      </c>
      <c r="R11" s="13"/>
      <c r="S11" s="13" t="s">
        <v>215</v>
      </c>
      <c r="T11" s="13" t="s">
        <v>215</v>
      </c>
      <c r="U11" s="13" t="s">
        <v>215</v>
      </c>
      <c r="V11" s="13" t="s">
        <v>215</v>
      </c>
      <c r="W11" s="13" t="s">
        <v>215</v>
      </c>
      <c r="X11" s="13"/>
      <c r="Y11" s="13" t="s">
        <v>225</v>
      </c>
      <c r="Z11" s="13" t="s">
        <v>215</v>
      </c>
      <c r="AA11" s="17" t="s">
        <v>215</v>
      </c>
      <c r="AB11" s="13" t="s">
        <v>215</v>
      </c>
      <c r="AC11" s="13" t="s">
        <v>215</v>
      </c>
      <c r="AD11" s="13" t="s">
        <v>215</v>
      </c>
      <c r="AE11" s="13" t="s">
        <v>215</v>
      </c>
      <c r="AF11" t="s">
        <v>215</v>
      </c>
    </row>
    <row r="12" spans="1:32" ht="36" customHeight="1" x14ac:dyDescent="0.25">
      <c r="A12" s="14" t="s">
        <v>2577</v>
      </c>
      <c r="B12" s="13" t="s">
        <v>2578</v>
      </c>
      <c r="C12" s="13" t="s">
        <v>266</v>
      </c>
      <c r="D12" s="13" t="s">
        <v>127</v>
      </c>
      <c r="E12" s="13" t="s">
        <v>2579</v>
      </c>
      <c r="F12" s="13" t="s">
        <v>266</v>
      </c>
      <c r="G12" s="13" t="s">
        <v>2580</v>
      </c>
      <c r="H12" s="13"/>
      <c r="I12" s="13" t="s">
        <v>225</v>
      </c>
      <c r="J12" s="13" t="s">
        <v>266</v>
      </c>
      <c r="K12" s="13" t="s">
        <v>2578</v>
      </c>
      <c r="L12" s="13" t="s">
        <v>2578</v>
      </c>
      <c r="M12" s="13" t="s">
        <v>2578</v>
      </c>
      <c r="N12" s="13" t="s">
        <v>2578</v>
      </c>
      <c r="O12" s="13" t="s">
        <v>266</v>
      </c>
      <c r="P12" s="13" t="s">
        <v>2578</v>
      </c>
      <c r="Q12" s="13" t="s">
        <v>266</v>
      </c>
      <c r="R12" s="13" t="s">
        <v>2581</v>
      </c>
      <c r="S12" s="13" t="s">
        <v>2578</v>
      </c>
      <c r="T12" s="13"/>
      <c r="U12" s="13" t="s">
        <v>266</v>
      </c>
      <c r="V12" s="13" t="s">
        <v>2582</v>
      </c>
      <c r="W12" s="13" t="s">
        <v>2581</v>
      </c>
      <c r="X12" s="13" t="s">
        <v>2581</v>
      </c>
      <c r="Y12" s="13" t="s">
        <v>2583</v>
      </c>
      <c r="Z12" s="13" t="s">
        <v>2578</v>
      </c>
      <c r="AA12" s="17" t="s">
        <v>2578</v>
      </c>
      <c r="AB12" s="13" t="s">
        <v>266</v>
      </c>
      <c r="AC12" s="13" t="s">
        <v>2578</v>
      </c>
      <c r="AD12" s="13" t="s">
        <v>266</v>
      </c>
      <c r="AE12" s="13" t="s">
        <v>266</v>
      </c>
      <c r="AF12" t="s">
        <v>2584</v>
      </c>
    </row>
    <row r="13" spans="1:32" ht="36" customHeight="1" x14ac:dyDescent="0.25">
      <c r="A13" s="14" t="s">
        <v>2585</v>
      </c>
      <c r="B13" s="13" t="s">
        <v>2586</v>
      </c>
      <c r="C13" s="13" t="s">
        <v>2587</v>
      </c>
      <c r="D13" s="13" t="s">
        <v>2588</v>
      </c>
      <c r="E13" s="13" t="s">
        <v>2589</v>
      </c>
      <c r="F13" s="13" t="s">
        <v>225</v>
      </c>
      <c r="G13" s="13" t="s">
        <v>2590</v>
      </c>
      <c r="H13" s="13" t="s">
        <v>2591</v>
      </c>
      <c r="I13" s="13" t="s">
        <v>2592</v>
      </c>
      <c r="J13" s="13" t="s">
        <v>2592</v>
      </c>
      <c r="K13" s="13" t="s">
        <v>2593</v>
      </c>
      <c r="L13" s="13" t="s">
        <v>2594</v>
      </c>
      <c r="M13" s="13" t="s">
        <v>2595</v>
      </c>
      <c r="N13" s="13" t="s">
        <v>2596</v>
      </c>
      <c r="O13" s="13" t="s">
        <v>2597</v>
      </c>
      <c r="P13" s="13" t="s">
        <v>225</v>
      </c>
      <c r="Q13" s="13" t="s">
        <v>2598</v>
      </c>
      <c r="R13" s="13" t="s">
        <v>2599</v>
      </c>
      <c r="S13" s="13"/>
      <c r="T13" s="13" t="s">
        <v>225</v>
      </c>
      <c r="U13" s="13" t="s">
        <v>2600</v>
      </c>
      <c r="V13" s="13" t="s">
        <v>2601</v>
      </c>
      <c r="W13" s="13" t="s">
        <v>2602</v>
      </c>
      <c r="X13" s="13" t="s">
        <v>2603</v>
      </c>
      <c r="Y13" s="13" t="s">
        <v>2604</v>
      </c>
      <c r="Z13" s="13" t="s">
        <v>215</v>
      </c>
      <c r="AA13" s="17" t="s">
        <v>228</v>
      </c>
      <c r="AB13" s="13" t="s">
        <v>2605</v>
      </c>
      <c r="AC13" s="13" t="s">
        <v>225</v>
      </c>
      <c r="AD13" s="13" t="s">
        <v>2606</v>
      </c>
      <c r="AE13" s="13" t="s">
        <v>225</v>
      </c>
      <c r="AF13" t="s">
        <v>2607</v>
      </c>
    </row>
    <row r="14" spans="1:32" ht="36" customHeight="1" x14ac:dyDescent="0.25">
      <c r="A14" s="14" t="s">
        <v>2608</v>
      </c>
      <c r="B14" s="13" t="s">
        <v>2609</v>
      </c>
      <c r="C14" s="13" t="s">
        <v>2170</v>
      </c>
      <c r="D14" s="13" t="s">
        <v>2610</v>
      </c>
      <c r="E14" s="13"/>
      <c r="F14" s="13" t="s">
        <v>225</v>
      </c>
      <c r="G14" s="13" t="s">
        <v>2611</v>
      </c>
      <c r="H14" s="13" t="s">
        <v>2612</v>
      </c>
      <c r="I14" s="13" t="s">
        <v>2613</v>
      </c>
      <c r="J14" s="13" t="s">
        <v>485</v>
      </c>
      <c r="K14" s="13" t="s">
        <v>2614</v>
      </c>
      <c r="L14" s="13" t="s">
        <v>2615</v>
      </c>
      <c r="M14" s="13" t="s">
        <v>2615</v>
      </c>
      <c r="N14" s="13" t="s">
        <v>2616</v>
      </c>
      <c r="O14" s="13" t="s">
        <v>2617</v>
      </c>
      <c r="P14" s="13" t="s">
        <v>2616</v>
      </c>
      <c r="Q14" s="13"/>
      <c r="R14" s="13"/>
      <c r="S14" s="13" t="s">
        <v>2618</v>
      </c>
      <c r="T14" s="13" t="s">
        <v>225</v>
      </c>
      <c r="U14" s="13" t="s">
        <v>225</v>
      </c>
      <c r="V14" s="13" t="s">
        <v>2619</v>
      </c>
      <c r="W14" s="13"/>
      <c r="X14" s="13" t="s">
        <v>2620</v>
      </c>
      <c r="Y14" s="13" t="s">
        <v>2621</v>
      </c>
      <c r="Z14" s="13" t="s">
        <v>2622</v>
      </c>
      <c r="AA14" s="17" t="s">
        <v>225</v>
      </c>
      <c r="AB14" s="13" t="s">
        <v>562</v>
      </c>
      <c r="AC14" s="13" t="s">
        <v>225</v>
      </c>
      <c r="AD14" s="13" t="s">
        <v>2623</v>
      </c>
      <c r="AE14" s="13" t="s">
        <v>225</v>
      </c>
      <c r="AF14" t="s">
        <v>2624</v>
      </c>
    </row>
    <row r="15" spans="1:32" ht="36" customHeight="1" x14ac:dyDescent="0.25">
      <c r="A15" s="14" t="s">
        <v>2625</v>
      </c>
      <c r="B15" s="13" t="s">
        <v>2626</v>
      </c>
      <c r="C15" s="13"/>
      <c r="D15" s="13"/>
      <c r="E15" s="13"/>
      <c r="F15" s="13"/>
      <c r="G15" s="13" t="s">
        <v>2627</v>
      </c>
      <c r="H15" s="13"/>
      <c r="I15" s="13" t="s">
        <v>2628</v>
      </c>
      <c r="J15" s="13"/>
      <c r="K15" s="13" t="s">
        <v>2629</v>
      </c>
      <c r="L15" s="13" t="s">
        <v>2630</v>
      </c>
      <c r="M15" s="13" t="s">
        <v>2631</v>
      </c>
      <c r="N15" s="13"/>
      <c r="O15" s="13"/>
      <c r="P15" s="13"/>
      <c r="Q15" s="13"/>
      <c r="R15" s="13"/>
      <c r="S15" s="13"/>
      <c r="T15" s="13"/>
      <c r="U15" s="13"/>
      <c r="V15" s="13"/>
      <c r="W15" s="13" t="s">
        <v>1135</v>
      </c>
      <c r="X15" s="13" t="s">
        <v>2632</v>
      </c>
      <c r="Y15" s="13" t="s">
        <v>2633</v>
      </c>
      <c r="Z15" s="13"/>
      <c r="AA15" s="17" t="s">
        <v>225</v>
      </c>
      <c r="AB15" s="13"/>
      <c r="AC15" s="13"/>
      <c r="AD15" s="13"/>
      <c r="AE15" s="13"/>
      <c r="AF15" t="s">
        <v>1346</v>
      </c>
    </row>
    <row r="16" spans="1:32" ht="36" customHeight="1" x14ac:dyDescent="0.25">
      <c r="A16" s="14" t="s">
        <v>2634</v>
      </c>
      <c r="B16" s="13" t="s">
        <v>2635</v>
      </c>
      <c r="C16" s="13" t="s">
        <v>2636</v>
      </c>
      <c r="D16" s="13" t="s">
        <v>2637</v>
      </c>
      <c r="E16" s="13" t="s">
        <v>2638</v>
      </c>
      <c r="F16" s="13" t="s">
        <v>2639</v>
      </c>
      <c r="G16" s="13" t="s">
        <v>2640</v>
      </c>
      <c r="H16" s="13" t="s">
        <v>2641</v>
      </c>
      <c r="I16" s="13" t="s">
        <v>2642</v>
      </c>
      <c r="J16" s="13" t="s">
        <v>2643</v>
      </c>
      <c r="K16" s="13" t="s">
        <v>2644</v>
      </c>
      <c r="L16" s="13" t="s">
        <v>2645</v>
      </c>
      <c r="M16" s="13" t="s">
        <v>2646</v>
      </c>
      <c r="N16" s="13" t="s">
        <v>2647</v>
      </c>
      <c r="O16" s="13" t="s">
        <v>2648</v>
      </c>
      <c r="P16" s="13" t="s">
        <v>2649</v>
      </c>
      <c r="Q16" s="13" t="s">
        <v>2650</v>
      </c>
      <c r="R16" s="13" t="s">
        <v>2651</v>
      </c>
      <c r="S16" s="13" t="s">
        <v>2652</v>
      </c>
      <c r="T16" s="13" t="s">
        <v>2653</v>
      </c>
      <c r="U16" s="13" t="s">
        <v>2654</v>
      </c>
      <c r="V16" s="13" t="s">
        <v>2655</v>
      </c>
      <c r="W16" s="13" t="s">
        <v>2656</v>
      </c>
      <c r="X16" s="13" t="s">
        <v>2657</v>
      </c>
      <c r="Y16" s="13" t="s">
        <v>2658</v>
      </c>
      <c r="Z16" s="13" t="s">
        <v>2659</v>
      </c>
      <c r="AA16" s="17" t="s">
        <v>2649</v>
      </c>
      <c r="AB16" s="13"/>
      <c r="AC16" s="13" t="s">
        <v>2647</v>
      </c>
      <c r="AD16" s="13" t="s">
        <v>2660</v>
      </c>
      <c r="AE16" s="13" t="s">
        <v>2653</v>
      </c>
      <c r="AF16" t="s">
        <v>2661</v>
      </c>
    </row>
    <row r="17" spans="1:32" ht="36" customHeight="1" x14ac:dyDescent="0.25">
      <c r="A17" s="14" t="s">
        <v>2662</v>
      </c>
      <c r="B17" s="13" t="s">
        <v>2663</v>
      </c>
      <c r="C17" s="13"/>
      <c r="D17" s="13" t="s">
        <v>225</v>
      </c>
      <c r="E17" s="13" t="s">
        <v>2664</v>
      </c>
      <c r="F17" s="13" t="s">
        <v>2665</v>
      </c>
      <c r="G17" s="13" t="s">
        <v>2666</v>
      </c>
      <c r="H17" s="13" t="s">
        <v>2667</v>
      </c>
      <c r="I17" s="13" t="s">
        <v>2668</v>
      </c>
      <c r="J17" s="13" t="s">
        <v>2669</v>
      </c>
      <c r="K17" s="13" t="s">
        <v>2670</v>
      </c>
      <c r="L17" s="13" t="s">
        <v>2671</v>
      </c>
      <c r="M17" s="13" t="s">
        <v>2672</v>
      </c>
      <c r="N17" s="13" t="s">
        <v>2673</v>
      </c>
      <c r="O17" s="13" t="s">
        <v>2674</v>
      </c>
      <c r="P17" s="13"/>
      <c r="Q17" s="13" t="s">
        <v>2673</v>
      </c>
      <c r="R17" s="13" t="s">
        <v>2675</v>
      </c>
      <c r="S17" s="13"/>
      <c r="T17" s="13" t="s">
        <v>225</v>
      </c>
      <c r="U17" s="13" t="s">
        <v>225</v>
      </c>
      <c r="V17" s="13" t="s">
        <v>2676</v>
      </c>
      <c r="W17" s="13" t="s">
        <v>225</v>
      </c>
      <c r="X17" s="13"/>
      <c r="Y17" s="13" t="s">
        <v>2677</v>
      </c>
      <c r="Z17" s="13" t="s">
        <v>2678</v>
      </c>
      <c r="AA17" s="17" t="s">
        <v>225</v>
      </c>
      <c r="AB17" s="13" t="s">
        <v>2679</v>
      </c>
      <c r="AC17" s="13" t="s">
        <v>225</v>
      </c>
      <c r="AD17" s="13" t="s">
        <v>2680</v>
      </c>
      <c r="AE17" s="13" t="s">
        <v>225</v>
      </c>
      <c r="AF17" t="s">
        <v>2681</v>
      </c>
    </row>
    <row r="18" spans="1:32" ht="36" customHeight="1" x14ac:dyDescent="0.25">
      <c r="A18" s="14" t="s">
        <v>2682</v>
      </c>
      <c r="B18" s="13" t="s">
        <v>2683</v>
      </c>
      <c r="C18" s="13"/>
      <c r="D18" s="13"/>
      <c r="E18" s="13"/>
      <c r="F18" s="13"/>
      <c r="G18" s="13" t="s">
        <v>2684</v>
      </c>
      <c r="H18" s="13" t="s">
        <v>251</v>
      </c>
      <c r="I18" s="13" t="s">
        <v>2685</v>
      </c>
      <c r="J18" s="13"/>
      <c r="K18" s="13" t="s">
        <v>2686</v>
      </c>
      <c r="L18" s="13" t="s">
        <v>2687</v>
      </c>
      <c r="M18" s="13" t="s">
        <v>2688</v>
      </c>
      <c r="N18" s="13"/>
      <c r="O18" s="13"/>
      <c r="P18" s="13"/>
      <c r="Q18" s="13"/>
      <c r="R18" s="13"/>
      <c r="S18" s="13"/>
      <c r="T18" s="13"/>
      <c r="U18" s="13"/>
      <c r="V18" s="13"/>
      <c r="W18" s="13" t="s">
        <v>2689</v>
      </c>
      <c r="X18" s="13" t="s">
        <v>2690</v>
      </c>
      <c r="Y18" s="13"/>
      <c r="Z18" s="13"/>
      <c r="AA18" s="17"/>
      <c r="AB18" s="13"/>
      <c r="AC18" s="13" t="s">
        <v>2691</v>
      </c>
      <c r="AD18" s="13"/>
      <c r="AE18" s="13"/>
      <c r="AF18" t="s">
        <v>2692</v>
      </c>
    </row>
    <row r="19" spans="1:32" ht="36" customHeight="1" x14ac:dyDescent="0.25">
      <c r="A19" s="14" t="s">
        <v>2693</v>
      </c>
      <c r="B19" s="13" t="s">
        <v>2694</v>
      </c>
      <c r="C19" s="13" t="s">
        <v>2695</v>
      </c>
      <c r="D19" s="13" t="s">
        <v>2696</v>
      </c>
      <c r="E19" s="13" t="s">
        <v>2697</v>
      </c>
      <c r="F19" s="13" t="s">
        <v>2698</v>
      </c>
      <c r="G19" s="13" t="s">
        <v>2699</v>
      </c>
      <c r="H19" s="13" t="s">
        <v>2700</v>
      </c>
      <c r="I19" s="13" t="s">
        <v>2701</v>
      </c>
      <c r="J19" s="13" t="s">
        <v>2702</v>
      </c>
      <c r="K19" s="13" t="s">
        <v>2703</v>
      </c>
      <c r="L19" s="13" t="s">
        <v>2704</v>
      </c>
      <c r="M19" s="13" t="s">
        <v>2705</v>
      </c>
      <c r="N19" s="13" t="s">
        <v>2706</v>
      </c>
      <c r="O19" s="13" t="s">
        <v>2707</v>
      </c>
      <c r="P19" s="13" t="s">
        <v>2708</v>
      </c>
      <c r="Q19" s="13" t="s">
        <v>2709</v>
      </c>
      <c r="R19" s="13" t="s">
        <v>2710</v>
      </c>
      <c r="S19" s="13" t="s">
        <v>2711</v>
      </c>
      <c r="T19" s="13" t="s">
        <v>2712</v>
      </c>
      <c r="U19" s="13" t="s">
        <v>2713</v>
      </c>
      <c r="V19" s="13" t="s">
        <v>2714</v>
      </c>
      <c r="W19" s="13" t="s">
        <v>2715</v>
      </c>
      <c r="X19" s="13" t="s">
        <v>2716</v>
      </c>
      <c r="Y19" s="13" t="s">
        <v>2717</v>
      </c>
      <c r="Z19" s="13" t="s">
        <v>2718</v>
      </c>
      <c r="AA19" s="17" t="s">
        <v>2719</v>
      </c>
      <c r="AB19" s="13" t="s">
        <v>2720</v>
      </c>
      <c r="AC19" s="13" t="s">
        <v>2721</v>
      </c>
      <c r="AD19" s="13" t="s">
        <v>2722</v>
      </c>
      <c r="AE19" s="13" t="s">
        <v>2723</v>
      </c>
      <c r="AF19" t="s">
        <v>2724</v>
      </c>
    </row>
    <row r="20" spans="1:32" ht="23.1" customHeight="1" x14ac:dyDescent="0.25">
      <c r="A20" s="15" t="s">
        <v>2725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15"/>
      <c r="AC20" s="15"/>
      <c r="AD20" s="15"/>
      <c r="AE20" s="15"/>
    </row>
    <row r="21" spans="1:32" ht="36" customHeight="1" x14ac:dyDescent="0.25">
      <c r="A21" s="14" t="s">
        <v>2726</v>
      </c>
      <c r="B21" s="13" t="s">
        <v>2727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228</v>
      </c>
      <c r="AB21" s="13"/>
      <c r="AC21" s="13"/>
      <c r="AD21" s="13"/>
      <c r="AE21" s="13"/>
      <c r="AF21" t="s">
        <v>1346</v>
      </c>
    </row>
    <row r="22" spans="1:32" ht="36" customHeight="1" x14ac:dyDescent="0.25">
      <c r="A22" s="14" t="s">
        <v>2728</v>
      </c>
      <c r="B22" s="13" t="s">
        <v>1974</v>
      </c>
      <c r="C22" s="13"/>
      <c r="D22" s="13"/>
      <c r="E22" s="13"/>
      <c r="F22" s="13"/>
      <c r="G22" s="13" t="s">
        <v>251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228</v>
      </c>
      <c r="AB22" s="13"/>
      <c r="AC22" s="13"/>
      <c r="AD22" s="13"/>
      <c r="AE22" s="13"/>
      <c r="AF22" t="s">
        <v>1346</v>
      </c>
    </row>
    <row r="23" spans="1:32" ht="36" customHeight="1" x14ac:dyDescent="0.25">
      <c r="A23" s="14" t="s">
        <v>2729</v>
      </c>
      <c r="B23" s="13" t="s">
        <v>215</v>
      </c>
      <c r="C23" s="13" t="s">
        <v>251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5840</v>
      </c>
      <c r="AB23" s="13"/>
      <c r="AC23" s="13"/>
      <c r="AD23" s="13"/>
      <c r="AE23" s="13"/>
      <c r="AF23" t="s">
        <v>2730</v>
      </c>
    </row>
    <row r="24" spans="1:32" ht="36" customHeight="1" x14ac:dyDescent="0.25">
      <c r="A24" s="14" t="s">
        <v>2731</v>
      </c>
      <c r="B24" s="13" t="s">
        <v>215</v>
      </c>
      <c r="C24" s="13"/>
      <c r="D24" s="13"/>
      <c r="E24" s="13"/>
      <c r="F24" s="13"/>
      <c r="G24" s="13"/>
      <c r="H24" s="13"/>
      <c r="I24" s="13"/>
      <c r="J24" s="13"/>
      <c r="K24" s="13" t="s">
        <v>215</v>
      </c>
      <c r="L24" s="13" t="s">
        <v>215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215</v>
      </c>
      <c r="AB24" s="13"/>
      <c r="AC24" s="13"/>
      <c r="AD24" s="13"/>
      <c r="AE24" s="13"/>
      <c r="AF24" t="s">
        <v>2732</v>
      </c>
    </row>
    <row r="25" spans="1:32" ht="36" customHeight="1" x14ac:dyDescent="0.25">
      <c r="A25" s="14" t="s">
        <v>1342</v>
      </c>
      <c r="B25" s="13" t="s">
        <v>215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2733</v>
      </c>
      <c r="AB25" s="13"/>
      <c r="AC25" s="13"/>
      <c r="AD25" s="13"/>
      <c r="AE25" s="13"/>
      <c r="AF25" t="s">
        <v>1346</v>
      </c>
    </row>
  </sheetData>
  <mergeCells count="1">
    <mergeCell ref="A1:A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8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Directory'!A1","Performance &amp; Client Stack"),"Performance &amp; Client Stack")</f>
        <v>Performance &amp; Client Stack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2734</v>
      </c>
      <c r="B3" s="13" t="s">
        <v>2735</v>
      </c>
      <c r="C3" s="13" t="s">
        <v>2736</v>
      </c>
      <c r="D3" s="13" t="s">
        <v>2737</v>
      </c>
      <c r="E3" s="13" t="s">
        <v>2738</v>
      </c>
      <c r="F3" s="13"/>
      <c r="G3" s="13" t="s">
        <v>2739</v>
      </c>
      <c r="H3" s="13"/>
      <c r="I3" s="13" t="s">
        <v>2740</v>
      </c>
      <c r="J3" s="13"/>
      <c r="K3" s="13" t="s">
        <v>2741</v>
      </c>
      <c r="L3" s="13" t="s">
        <v>2742</v>
      </c>
      <c r="M3" s="13" t="s">
        <v>2743</v>
      </c>
      <c r="N3" s="13" t="s">
        <v>2744</v>
      </c>
      <c r="O3" s="13" t="s">
        <v>2745</v>
      </c>
      <c r="P3" s="13" t="s">
        <v>2746</v>
      </c>
      <c r="Q3" s="13" t="s">
        <v>2747</v>
      </c>
      <c r="R3" s="13"/>
      <c r="S3" s="13" t="s">
        <v>2748</v>
      </c>
      <c r="T3" s="13"/>
      <c r="U3" s="13" t="s">
        <v>2749</v>
      </c>
      <c r="V3" s="13" t="s">
        <v>2750</v>
      </c>
      <c r="W3" s="13" t="s">
        <v>2538</v>
      </c>
      <c r="X3" s="13"/>
      <c r="Y3" s="13" t="s">
        <v>2751</v>
      </c>
      <c r="Z3" s="13" t="s">
        <v>2752</v>
      </c>
      <c r="AA3" s="17" t="s">
        <v>2753</v>
      </c>
      <c r="AB3" s="13" t="s">
        <v>2754</v>
      </c>
      <c r="AC3" s="13" t="s">
        <v>2755</v>
      </c>
      <c r="AD3" s="13" t="s">
        <v>2756</v>
      </c>
      <c r="AE3" s="13" t="s">
        <v>2757</v>
      </c>
      <c r="AF3" t="s">
        <v>2542</v>
      </c>
    </row>
    <row r="4" spans="1:32" ht="36" customHeight="1" x14ac:dyDescent="0.25">
      <c r="A4" s="14" t="s">
        <v>2758</v>
      </c>
      <c r="B4" s="13"/>
      <c r="C4" s="13"/>
      <c r="D4" s="13"/>
      <c r="E4" s="13"/>
      <c r="F4" s="13"/>
      <c r="G4" s="13" t="s">
        <v>1691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 t="s">
        <v>2759</v>
      </c>
      <c r="W4" s="13"/>
      <c r="X4" s="13"/>
      <c r="Y4" s="13"/>
      <c r="Z4" s="13"/>
      <c r="AA4" s="17" t="s">
        <v>5841</v>
      </c>
      <c r="AB4" s="13"/>
      <c r="AC4" s="13"/>
      <c r="AD4" s="13"/>
      <c r="AE4" s="13"/>
      <c r="AF4" t="s">
        <v>2760</v>
      </c>
    </row>
    <row r="5" spans="1:32" ht="36" customHeight="1" x14ac:dyDescent="0.25">
      <c r="A5" s="14" t="s">
        <v>2543</v>
      </c>
      <c r="B5" s="13" t="s">
        <v>2761</v>
      </c>
      <c r="C5" s="13" t="s">
        <v>215</v>
      </c>
      <c r="D5" s="13" t="s">
        <v>2762</v>
      </c>
      <c r="E5" s="13" t="s">
        <v>215</v>
      </c>
      <c r="F5" s="13" t="s">
        <v>215</v>
      </c>
      <c r="G5" s="13" t="s">
        <v>1691</v>
      </c>
      <c r="H5" s="13" t="s">
        <v>251</v>
      </c>
      <c r="I5" s="13" t="s">
        <v>215</v>
      </c>
      <c r="J5" s="13" t="s">
        <v>215</v>
      </c>
      <c r="K5" s="13" t="s">
        <v>215</v>
      </c>
      <c r="L5" s="13" t="s">
        <v>215</v>
      </c>
      <c r="M5" s="13" t="s">
        <v>215</v>
      </c>
      <c r="N5" s="13" t="s">
        <v>215</v>
      </c>
      <c r="O5" s="13" t="s">
        <v>215</v>
      </c>
      <c r="P5" s="13" t="s">
        <v>215</v>
      </c>
      <c r="Q5" s="13"/>
      <c r="R5" s="13"/>
      <c r="S5" s="13" t="s">
        <v>215</v>
      </c>
      <c r="T5" s="13"/>
      <c r="U5" s="13" t="s">
        <v>2763</v>
      </c>
      <c r="V5" s="13" t="s">
        <v>2764</v>
      </c>
      <c r="W5" s="13" t="s">
        <v>2765</v>
      </c>
      <c r="X5" s="13" t="s">
        <v>215</v>
      </c>
      <c r="Y5" s="13" t="s">
        <v>2766</v>
      </c>
      <c r="Z5" s="13" t="s">
        <v>215</v>
      </c>
      <c r="AA5" s="17" t="s">
        <v>215</v>
      </c>
      <c r="AB5" s="13" t="s">
        <v>215</v>
      </c>
      <c r="AC5" s="13" t="s">
        <v>215</v>
      </c>
      <c r="AD5" s="13" t="s">
        <v>2767</v>
      </c>
      <c r="AE5" s="13" t="s">
        <v>2541</v>
      </c>
      <c r="AF5" t="s">
        <v>215</v>
      </c>
    </row>
    <row r="6" spans="1:32" ht="36" customHeight="1" x14ac:dyDescent="0.25">
      <c r="A6" s="14" t="s">
        <v>2548</v>
      </c>
      <c r="B6" s="13" t="s">
        <v>215</v>
      </c>
      <c r="C6" s="13" t="s">
        <v>215</v>
      </c>
      <c r="D6" s="13" t="s">
        <v>2762</v>
      </c>
      <c r="E6" s="13" t="s">
        <v>215</v>
      </c>
      <c r="F6" s="13" t="s">
        <v>215</v>
      </c>
      <c r="G6" s="13" t="s">
        <v>1691</v>
      </c>
      <c r="H6" s="13" t="s">
        <v>251</v>
      </c>
      <c r="I6" s="13" t="s">
        <v>215</v>
      </c>
      <c r="J6" s="13" t="s">
        <v>215</v>
      </c>
      <c r="K6" s="13" t="s">
        <v>215</v>
      </c>
      <c r="L6" s="13" t="s">
        <v>215</v>
      </c>
      <c r="M6" s="13" t="s">
        <v>215</v>
      </c>
      <c r="N6" s="13" t="s">
        <v>215</v>
      </c>
      <c r="O6" s="13" t="s">
        <v>215</v>
      </c>
      <c r="P6" s="13" t="s">
        <v>215</v>
      </c>
      <c r="Q6" s="13" t="s">
        <v>2546</v>
      </c>
      <c r="R6" s="13" t="s">
        <v>215</v>
      </c>
      <c r="S6" s="13" t="s">
        <v>215</v>
      </c>
      <c r="T6" s="13"/>
      <c r="U6" s="13" t="s">
        <v>2561</v>
      </c>
      <c r="V6" s="13" t="s">
        <v>2546</v>
      </c>
      <c r="W6" s="13" t="s">
        <v>2546</v>
      </c>
      <c r="X6" s="13"/>
      <c r="Y6" s="13" t="s">
        <v>215</v>
      </c>
      <c r="Z6" s="13" t="s">
        <v>215</v>
      </c>
      <c r="AA6" s="17" t="s">
        <v>215</v>
      </c>
      <c r="AB6" s="13" t="s">
        <v>215</v>
      </c>
      <c r="AC6" s="13" t="s">
        <v>215</v>
      </c>
      <c r="AD6" s="13" t="s">
        <v>215</v>
      </c>
      <c r="AE6" s="13" t="s">
        <v>215</v>
      </c>
      <c r="AF6" t="s">
        <v>215</v>
      </c>
    </row>
    <row r="7" spans="1:32" ht="36" customHeight="1" x14ac:dyDescent="0.25">
      <c r="A7" s="14" t="s">
        <v>2768</v>
      </c>
      <c r="B7" s="13" t="s">
        <v>2769</v>
      </c>
      <c r="C7" s="13" t="s">
        <v>215</v>
      </c>
      <c r="D7" s="13" t="s">
        <v>2762</v>
      </c>
      <c r="E7" s="13" t="s">
        <v>2550</v>
      </c>
      <c r="F7" s="13"/>
      <c r="G7" s="13" t="s">
        <v>1691</v>
      </c>
      <c r="H7" s="13" t="s">
        <v>251</v>
      </c>
      <c r="I7" s="13" t="s">
        <v>215</v>
      </c>
      <c r="J7" s="13" t="s">
        <v>215</v>
      </c>
      <c r="K7" s="13" t="s">
        <v>215</v>
      </c>
      <c r="L7" s="13" t="s">
        <v>215</v>
      </c>
      <c r="M7" s="13" t="s">
        <v>215</v>
      </c>
      <c r="N7" s="13" t="s">
        <v>215</v>
      </c>
      <c r="O7" s="13" t="s">
        <v>2770</v>
      </c>
      <c r="P7" s="13" t="s">
        <v>2771</v>
      </c>
      <c r="Q7" s="13" t="s">
        <v>2546</v>
      </c>
      <c r="R7" s="13"/>
      <c r="S7" s="13" t="s">
        <v>215</v>
      </c>
      <c r="T7" s="13"/>
      <c r="U7" s="13" t="s">
        <v>2561</v>
      </c>
      <c r="V7" s="13" t="s">
        <v>2546</v>
      </c>
      <c r="W7" s="13" t="s">
        <v>2546</v>
      </c>
      <c r="X7" s="13"/>
      <c r="Y7" s="13" t="s">
        <v>215</v>
      </c>
      <c r="Z7" s="13"/>
      <c r="AA7" s="17" t="s">
        <v>5842</v>
      </c>
      <c r="AB7" s="13" t="s">
        <v>215</v>
      </c>
      <c r="AC7" s="13" t="s">
        <v>215</v>
      </c>
      <c r="AD7" s="13"/>
      <c r="AE7" s="13"/>
    </row>
    <row r="8" spans="1:32" ht="36" customHeight="1" x14ac:dyDescent="0.25">
      <c r="A8" s="14" t="s">
        <v>2772</v>
      </c>
      <c r="B8" s="13" t="s">
        <v>2773</v>
      </c>
      <c r="C8" s="13" t="s">
        <v>266</v>
      </c>
      <c r="D8" s="13"/>
      <c r="E8" s="13" t="s">
        <v>2579</v>
      </c>
      <c r="F8" s="13" t="s">
        <v>2774</v>
      </c>
      <c r="G8" s="13" t="s">
        <v>1691</v>
      </c>
      <c r="H8" s="13" t="s">
        <v>251</v>
      </c>
      <c r="I8" s="13" t="s">
        <v>2775</v>
      </c>
      <c r="J8" s="13"/>
      <c r="K8" s="13" t="s">
        <v>2776</v>
      </c>
      <c r="L8" s="13" t="s">
        <v>2578</v>
      </c>
      <c r="M8" s="13" t="s">
        <v>2578</v>
      </c>
      <c r="N8" s="13"/>
      <c r="O8" s="13" t="s">
        <v>266</v>
      </c>
      <c r="P8" s="13" t="s">
        <v>2578</v>
      </c>
      <c r="Q8" s="13" t="s">
        <v>2546</v>
      </c>
      <c r="R8" s="13" t="s">
        <v>2551</v>
      </c>
      <c r="S8" s="13" t="s">
        <v>2578</v>
      </c>
      <c r="T8" s="13"/>
      <c r="U8" s="13" t="s">
        <v>2561</v>
      </c>
      <c r="V8" s="13" t="s">
        <v>2546</v>
      </c>
      <c r="W8" s="13" t="s">
        <v>2546</v>
      </c>
      <c r="X8" s="13"/>
      <c r="Y8" s="13" t="s">
        <v>215</v>
      </c>
      <c r="Z8" s="13" t="s">
        <v>215</v>
      </c>
      <c r="AA8" s="17" t="s">
        <v>2578</v>
      </c>
      <c r="AB8" s="13" t="s">
        <v>2777</v>
      </c>
      <c r="AC8" s="13" t="s">
        <v>2778</v>
      </c>
      <c r="AD8" s="13"/>
      <c r="AE8" s="13"/>
      <c r="AF8" t="s">
        <v>2584</v>
      </c>
    </row>
    <row r="9" spans="1:32" ht="36" customHeight="1" x14ac:dyDescent="0.25">
      <c r="A9" s="14" t="s">
        <v>2779</v>
      </c>
      <c r="B9" s="13" t="s">
        <v>2780</v>
      </c>
      <c r="C9" s="13"/>
      <c r="D9" s="13"/>
      <c r="E9" s="13" t="s">
        <v>2781</v>
      </c>
      <c r="F9" s="13" t="s">
        <v>2559</v>
      </c>
      <c r="G9" s="13" t="s">
        <v>1691</v>
      </c>
      <c r="H9" s="13" t="s">
        <v>251</v>
      </c>
      <c r="I9" s="13" t="s">
        <v>2557</v>
      </c>
      <c r="J9" s="13" t="s">
        <v>2782</v>
      </c>
      <c r="K9" s="13"/>
      <c r="L9" s="13" t="s">
        <v>2783</v>
      </c>
      <c r="M9" s="13" t="s">
        <v>2559</v>
      </c>
      <c r="N9" s="13" t="s">
        <v>2559</v>
      </c>
      <c r="O9" s="13" t="s">
        <v>2558</v>
      </c>
      <c r="P9" s="13" t="s">
        <v>2559</v>
      </c>
      <c r="Q9" s="13" t="s">
        <v>2269</v>
      </c>
      <c r="R9" s="13"/>
      <c r="S9" s="13" t="s">
        <v>2554</v>
      </c>
      <c r="T9" s="13"/>
      <c r="U9" s="13" t="s">
        <v>2784</v>
      </c>
      <c r="V9" s="13" t="s">
        <v>2546</v>
      </c>
      <c r="W9" s="13" t="s">
        <v>2546</v>
      </c>
      <c r="X9" s="13"/>
      <c r="Y9" s="13" t="s">
        <v>2785</v>
      </c>
      <c r="Z9" s="13" t="s">
        <v>2786</v>
      </c>
      <c r="AA9" s="17" t="s">
        <v>5843</v>
      </c>
      <c r="AB9" s="13" t="s">
        <v>2787</v>
      </c>
      <c r="AC9" s="13" t="s">
        <v>2788</v>
      </c>
      <c r="AD9" s="13" t="s">
        <v>2558</v>
      </c>
      <c r="AE9" s="13" t="s">
        <v>2789</v>
      </c>
      <c r="AF9" t="s">
        <v>2790</v>
      </c>
    </row>
    <row r="10" spans="1:32" ht="36" customHeight="1" x14ac:dyDescent="0.25">
      <c r="A10" s="14" t="s">
        <v>2791</v>
      </c>
      <c r="B10" s="13" t="s">
        <v>2792</v>
      </c>
      <c r="C10" s="13"/>
      <c r="D10" s="13"/>
      <c r="E10" s="13" t="s">
        <v>2793</v>
      </c>
      <c r="F10" s="13" t="s">
        <v>2569</v>
      </c>
      <c r="G10" s="13" t="s">
        <v>1691</v>
      </c>
      <c r="H10" s="13" t="s">
        <v>251</v>
      </c>
      <c r="I10" s="13" t="s">
        <v>2557</v>
      </c>
      <c r="J10" s="13" t="s">
        <v>2794</v>
      </c>
      <c r="K10" s="13" t="s">
        <v>2569</v>
      </c>
      <c r="L10" s="13" t="s">
        <v>2795</v>
      </c>
      <c r="M10" s="13" t="s">
        <v>2569</v>
      </c>
      <c r="N10" s="13" t="s">
        <v>2796</v>
      </c>
      <c r="O10" s="13" t="s">
        <v>2797</v>
      </c>
      <c r="P10" s="13" t="s">
        <v>2569</v>
      </c>
      <c r="Q10" s="13" t="s">
        <v>2269</v>
      </c>
      <c r="R10" s="13"/>
      <c r="S10" s="13" t="s">
        <v>2798</v>
      </c>
      <c r="T10" s="13"/>
      <c r="U10" s="13" t="s">
        <v>2784</v>
      </c>
      <c r="V10" s="13" t="s">
        <v>2546</v>
      </c>
      <c r="W10" s="13" t="s">
        <v>2546</v>
      </c>
      <c r="X10" s="13"/>
      <c r="Y10" s="13" t="s">
        <v>2799</v>
      </c>
      <c r="Z10" s="13"/>
      <c r="AA10" s="17" t="s">
        <v>5844</v>
      </c>
      <c r="AB10" s="13" t="s">
        <v>2800</v>
      </c>
      <c r="AC10" s="13" t="s">
        <v>2569</v>
      </c>
      <c r="AD10" s="13"/>
      <c r="AE10" s="13" t="s">
        <v>2789</v>
      </c>
      <c r="AF10" t="s">
        <v>2801</v>
      </c>
    </row>
    <row r="11" spans="1:32" ht="36" customHeight="1" x14ac:dyDescent="0.25">
      <c r="A11" s="14" t="s">
        <v>2802</v>
      </c>
      <c r="B11" s="13"/>
      <c r="C11" s="13"/>
      <c r="D11" s="13"/>
      <c r="E11" s="13"/>
      <c r="F11" s="13"/>
      <c r="G11" s="13" t="s">
        <v>2803</v>
      </c>
      <c r="H11" s="13" t="s">
        <v>2804</v>
      </c>
      <c r="I11" s="13" t="s">
        <v>251</v>
      </c>
      <c r="J11" s="13"/>
      <c r="K11" s="13"/>
      <c r="L11" s="13" t="s">
        <v>2805</v>
      </c>
      <c r="M11" s="13" t="s">
        <v>2806</v>
      </c>
      <c r="N11" s="13"/>
      <c r="O11" s="13"/>
      <c r="P11" s="13" t="s">
        <v>2538</v>
      </c>
      <c r="Q11" s="13" t="s">
        <v>215</v>
      </c>
      <c r="R11" s="13"/>
      <c r="S11" s="13" t="s">
        <v>2546</v>
      </c>
      <c r="T11" s="13" t="s">
        <v>215</v>
      </c>
      <c r="U11" s="13" t="s">
        <v>215</v>
      </c>
      <c r="V11" s="13" t="s">
        <v>215</v>
      </c>
      <c r="W11" s="13" t="s">
        <v>215</v>
      </c>
      <c r="X11" s="13"/>
      <c r="Y11" s="13" t="s">
        <v>2807</v>
      </c>
      <c r="Z11" s="13" t="s">
        <v>2546</v>
      </c>
      <c r="AA11" s="17" t="s">
        <v>2546</v>
      </c>
      <c r="AB11" s="13" t="s">
        <v>215</v>
      </c>
      <c r="AC11" s="13" t="s">
        <v>2808</v>
      </c>
      <c r="AD11" s="13" t="s">
        <v>215</v>
      </c>
      <c r="AE11" s="13" t="s">
        <v>2546</v>
      </c>
      <c r="AF11" t="s">
        <v>2692</v>
      </c>
    </row>
    <row r="12" spans="1:32" ht="23.1" customHeight="1" x14ac:dyDescent="0.25">
      <c r="A12" s="15" t="s">
        <v>2809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2512</v>
      </c>
      <c r="B13" s="13" t="s">
        <v>215</v>
      </c>
      <c r="C13" s="13" t="s">
        <v>2513</v>
      </c>
      <c r="D13" s="13" t="s">
        <v>215</v>
      </c>
      <c r="E13" s="13" t="s">
        <v>215</v>
      </c>
      <c r="F13" s="13" t="s">
        <v>2514</v>
      </c>
      <c r="G13" s="13" t="s">
        <v>2515</v>
      </c>
      <c r="H13" s="13" t="s">
        <v>2516</v>
      </c>
      <c r="I13" s="13" t="s">
        <v>2517</v>
      </c>
      <c r="J13" s="13" t="s">
        <v>2518</v>
      </c>
      <c r="K13" s="13" t="s">
        <v>215</v>
      </c>
      <c r="L13" s="13" t="s">
        <v>215</v>
      </c>
      <c r="M13" s="13" t="s">
        <v>215</v>
      </c>
      <c r="N13" s="13" t="s">
        <v>215</v>
      </c>
      <c r="O13" s="13" t="s">
        <v>215</v>
      </c>
      <c r="P13" s="13" t="s">
        <v>215</v>
      </c>
      <c r="Q13" s="13" t="s">
        <v>215</v>
      </c>
      <c r="R13" s="13"/>
      <c r="S13" s="13" t="s">
        <v>215</v>
      </c>
      <c r="T13" s="13" t="s">
        <v>215</v>
      </c>
      <c r="U13" s="13" t="s">
        <v>215</v>
      </c>
      <c r="V13" s="13" t="s">
        <v>2519</v>
      </c>
      <c r="W13" s="13" t="s">
        <v>215</v>
      </c>
      <c r="X13" s="13" t="s">
        <v>215</v>
      </c>
      <c r="Y13" s="13" t="s">
        <v>2520</v>
      </c>
      <c r="Z13" s="13" t="s">
        <v>215</v>
      </c>
      <c r="AA13" s="17" t="s">
        <v>215</v>
      </c>
      <c r="AB13" s="13" t="s">
        <v>215</v>
      </c>
      <c r="AC13" s="13" t="s">
        <v>215</v>
      </c>
      <c r="AD13" s="13" t="s">
        <v>215</v>
      </c>
      <c r="AE13" s="13" t="s">
        <v>215</v>
      </c>
      <c r="AF13" t="s">
        <v>215</v>
      </c>
    </row>
    <row r="14" spans="1:32" ht="36" customHeight="1" x14ac:dyDescent="0.25">
      <c r="A14" s="14" t="s">
        <v>2573</v>
      </c>
      <c r="B14" s="13" t="s">
        <v>2574</v>
      </c>
      <c r="C14" s="13" t="s">
        <v>215</v>
      </c>
      <c r="D14" s="13" t="s">
        <v>215</v>
      </c>
      <c r="E14" s="13" t="s">
        <v>215</v>
      </c>
      <c r="F14" s="13"/>
      <c r="G14" s="13" t="s">
        <v>2575</v>
      </c>
      <c r="H14" s="13"/>
      <c r="I14" s="13" t="s">
        <v>225</v>
      </c>
      <c r="J14" s="13"/>
      <c r="K14" s="13" t="s">
        <v>215</v>
      </c>
      <c r="L14" s="13" t="s">
        <v>2576</v>
      </c>
      <c r="M14" s="13" t="s">
        <v>215</v>
      </c>
      <c r="N14" s="13" t="s">
        <v>2576</v>
      </c>
      <c r="O14" s="13" t="s">
        <v>2538</v>
      </c>
      <c r="P14" s="13" t="s">
        <v>215</v>
      </c>
      <c r="Q14" s="13" t="s">
        <v>215</v>
      </c>
      <c r="R14" s="13"/>
      <c r="S14" s="13" t="s">
        <v>215</v>
      </c>
      <c r="T14" s="13" t="s">
        <v>215</v>
      </c>
      <c r="U14" s="13" t="s">
        <v>215</v>
      </c>
      <c r="V14" s="13" t="s">
        <v>215</v>
      </c>
      <c r="W14" s="13" t="s">
        <v>215</v>
      </c>
      <c r="X14" s="13"/>
      <c r="Y14" s="13" t="s">
        <v>225</v>
      </c>
      <c r="Z14" s="13" t="s">
        <v>215</v>
      </c>
      <c r="AA14" s="17" t="s">
        <v>215</v>
      </c>
      <c r="AB14" s="13" t="s">
        <v>215</v>
      </c>
      <c r="AC14" s="13" t="s">
        <v>215</v>
      </c>
      <c r="AD14" s="13" t="s">
        <v>215</v>
      </c>
      <c r="AE14" s="13" t="s">
        <v>215</v>
      </c>
      <c r="AF14" t="s">
        <v>215</v>
      </c>
    </row>
    <row r="15" spans="1:32" ht="36" customHeight="1" x14ac:dyDescent="0.25">
      <c r="A15" s="14" t="s">
        <v>2608</v>
      </c>
      <c r="B15" s="13" t="s">
        <v>2609</v>
      </c>
      <c r="C15" s="13" t="s">
        <v>2170</v>
      </c>
      <c r="D15" s="13" t="s">
        <v>2610</v>
      </c>
      <c r="E15" s="13"/>
      <c r="F15" s="13" t="s">
        <v>225</v>
      </c>
      <c r="G15" s="13" t="s">
        <v>2611</v>
      </c>
      <c r="H15" s="13" t="s">
        <v>2612</v>
      </c>
      <c r="I15" s="13" t="s">
        <v>2613</v>
      </c>
      <c r="J15" s="13" t="s">
        <v>485</v>
      </c>
      <c r="K15" s="13" t="s">
        <v>2614</v>
      </c>
      <c r="L15" s="13" t="s">
        <v>2615</v>
      </c>
      <c r="M15" s="13" t="s">
        <v>2615</v>
      </c>
      <c r="N15" s="13" t="s">
        <v>2616</v>
      </c>
      <c r="O15" s="13" t="s">
        <v>2617</v>
      </c>
      <c r="P15" s="13" t="s">
        <v>2616</v>
      </c>
      <c r="Q15" s="13"/>
      <c r="R15" s="13"/>
      <c r="S15" s="13" t="s">
        <v>2618</v>
      </c>
      <c r="T15" s="13" t="s">
        <v>225</v>
      </c>
      <c r="U15" s="13" t="s">
        <v>225</v>
      </c>
      <c r="V15" s="13" t="s">
        <v>2619</v>
      </c>
      <c r="W15" s="13"/>
      <c r="X15" s="13" t="s">
        <v>2620</v>
      </c>
      <c r="Y15" s="13" t="s">
        <v>2621</v>
      </c>
      <c r="Z15" s="13" t="s">
        <v>2622</v>
      </c>
      <c r="AA15" s="17" t="s">
        <v>225</v>
      </c>
      <c r="AB15" s="13" t="s">
        <v>562</v>
      </c>
      <c r="AC15" s="13" t="s">
        <v>225</v>
      </c>
      <c r="AD15" s="13" t="s">
        <v>2623</v>
      </c>
      <c r="AE15" s="13" t="s">
        <v>225</v>
      </c>
      <c r="AF15" t="s">
        <v>2624</v>
      </c>
    </row>
    <row r="16" spans="1:32" ht="36" customHeight="1" x14ac:dyDescent="0.25">
      <c r="A16" s="14" t="s">
        <v>2625</v>
      </c>
      <c r="B16" s="13" t="s">
        <v>2626</v>
      </c>
      <c r="C16" s="13"/>
      <c r="D16" s="13"/>
      <c r="E16" s="13"/>
      <c r="F16" s="13"/>
      <c r="G16" s="13" t="s">
        <v>2627</v>
      </c>
      <c r="H16" s="13"/>
      <c r="I16" s="13" t="s">
        <v>2628</v>
      </c>
      <c r="J16" s="13"/>
      <c r="K16" s="13" t="s">
        <v>2629</v>
      </c>
      <c r="L16" s="13" t="s">
        <v>2630</v>
      </c>
      <c r="M16" s="13" t="s">
        <v>2631</v>
      </c>
      <c r="N16" s="13"/>
      <c r="O16" s="13"/>
      <c r="P16" s="13"/>
      <c r="Q16" s="13"/>
      <c r="R16" s="13"/>
      <c r="S16" s="13"/>
      <c r="T16" s="13"/>
      <c r="U16" s="13"/>
      <c r="V16" s="13"/>
      <c r="W16" s="13" t="s">
        <v>1135</v>
      </c>
      <c r="X16" s="13" t="s">
        <v>2632</v>
      </c>
      <c r="Y16" s="13" t="s">
        <v>2633</v>
      </c>
      <c r="Z16" s="13"/>
      <c r="AA16" s="17" t="s">
        <v>5845</v>
      </c>
      <c r="AB16" s="13"/>
      <c r="AC16" s="13"/>
      <c r="AD16" s="13"/>
      <c r="AE16" s="13"/>
      <c r="AF16" t="s">
        <v>1346</v>
      </c>
    </row>
    <row r="17" spans="1:32" ht="36" customHeight="1" x14ac:dyDescent="0.25">
      <c r="A17" s="14" t="s">
        <v>2810</v>
      </c>
      <c r="B17" s="13" t="s">
        <v>215</v>
      </c>
      <c r="C17" s="13" t="s">
        <v>2811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5846</v>
      </c>
      <c r="AB17" s="13"/>
      <c r="AC17" s="13"/>
      <c r="AD17" s="13"/>
      <c r="AE17" s="13"/>
      <c r="AF17" t="s">
        <v>2730</v>
      </c>
    </row>
    <row r="18" spans="1:32" ht="36" customHeight="1" x14ac:dyDescent="0.25">
      <c r="A18" s="14" t="s">
        <v>2812</v>
      </c>
      <c r="B18" s="13" t="s">
        <v>215</v>
      </c>
      <c r="C18" s="13"/>
      <c r="D18" s="13"/>
      <c r="E18" s="13"/>
      <c r="F18" s="13"/>
      <c r="G18" s="13"/>
      <c r="H18" s="13"/>
      <c r="I18" s="13"/>
      <c r="J18" s="13"/>
      <c r="K18" s="13"/>
      <c r="L18" s="13" t="s">
        <v>251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/>
      <c r="AB18" s="13"/>
      <c r="AC18" s="13"/>
      <c r="AD18" s="13"/>
      <c r="AE18" s="13"/>
      <c r="AF18" t="s">
        <v>1346</v>
      </c>
    </row>
  </sheetData>
  <mergeCells count="1">
    <mergeCell ref="A1:A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36"/>
  <sheetViews>
    <sheetView workbookViewId="0">
      <pane xSplit="2" ySplit="2" topLeftCell="X19" activePane="bottomRight" state="frozen"/>
      <selection pane="topRight" activeCell="C1" sqref="C1"/>
      <selection pane="bottomLeft" activeCell="A3" sqref="A3"/>
      <selection pane="bottomRight" activeCell="AA33" sqref="AA3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Directory'!A1","Accounts, Signup &amp; Identity — Granular"),"Accounts, Signup &amp; Identity — Granular")</f>
        <v>Accounts, Signup &amp; Identity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2813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2814</v>
      </c>
    </row>
    <row r="4" spans="1:32" ht="36" customHeight="1" x14ac:dyDescent="0.25">
      <c r="A4" s="14" t="s">
        <v>2815</v>
      </c>
      <c r="B4" s="13" t="s">
        <v>215</v>
      </c>
      <c r="C4" s="13"/>
      <c r="D4" s="13"/>
      <c r="E4" s="13" t="s">
        <v>215</v>
      </c>
      <c r="F4" s="13" t="s">
        <v>215</v>
      </c>
      <c r="G4" s="13"/>
      <c r="H4" s="13"/>
      <c r="I4" s="13" t="s">
        <v>215</v>
      </c>
      <c r="J4" s="13"/>
      <c r="K4" s="13"/>
      <c r="L4" s="13"/>
      <c r="M4" s="13"/>
      <c r="N4" s="13" t="s">
        <v>215</v>
      </c>
      <c r="O4" s="13"/>
      <c r="P4" s="13" t="s">
        <v>215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7" t="s">
        <v>215</v>
      </c>
      <c r="AB4" s="13"/>
      <c r="AC4" s="13"/>
      <c r="AD4" s="13"/>
      <c r="AE4" s="13"/>
      <c r="AF4" t="s">
        <v>215</v>
      </c>
    </row>
    <row r="5" spans="1:32" ht="36" customHeight="1" x14ac:dyDescent="0.25">
      <c r="A5" s="14" t="s">
        <v>2816</v>
      </c>
      <c r="B5" s="13" t="s">
        <v>215</v>
      </c>
      <c r="C5" s="13"/>
      <c r="D5" s="13"/>
      <c r="E5" s="13" t="s">
        <v>215</v>
      </c>
      <c r="F5" s="13" t="s">
        <v>215</v>
      </c>
      <c r="G5" s="13"/>
      <c r="H5" s="13"/>
      <c r="I5" s="13" t="s">
        <v>215</v>
      </c>
      <c r="J5" s="13"/>
      <c r="K5" s="13"/>
      <c r="L5" s="13"/>
      <c r="M5" s="13"/>
      <c r="N5" s="13" t="s">
        <v>215</v>
      </c>
      <c r="O5" s="13"/>
      <c r="P5" s="13" t="s">
        <v>215</v>
      </c>
      <c r="Q5" s="13"/>
      <c r="R5" s="13"/>
      <c r="S5" s="13"/>
      <c r="T5" s="13"/>
      <c r="U5" s="13" t="s">
        <v>215</v>
      </c>
      <c r="V5" s="13" t="s">
        <v>215</v>
      </c>
      <c r="W5" s="13"/>
      <c r="X5" s="13" t="s">
        <v>2817</v>
      </c>
      <c r="Y5" s="13" t="s">
        <v>2817</v>
      </c>
      <c r="Z5" s="13"/>
      <c r="AA5" s="17" t="s">
        <v>215</v>
      </c>
      <c r="AB5" s="13"/>
      <c r="AC5" s="13"/>
      <c r="AD5" s="13"/>
      <c r="AE5" s="13"/>
      <c r="AF5" t="s">
        <v>215</v>
      </c>
    </row>
    <row r="6" spans="1:32" ht="36" customHeight="1" x14ac:dyDescent="0.25">
      <c r="A6" s="14" t="s">
        <v>2818</v>
      </c>
      <c r="B6" s="13"/>
      <c r="C6" s="13" t="s">
        <v>215</v>
      </c>
      <c r="D6" s="13" t="s">
        <v>215</v>
      </c>
      <c r="E6" s="13"/>
      <c r="F6" s="13"/>
      <c r="G6" s="13" t="s">
        <v>2819</v>
      </c>
      <c r="H6" s="13"/>
      <c r="I6" s="13"/>
      <c r="J6" s="13"/>
      <c r="K6" s="13" t="s">
        <v>215</v>
      </c>
      <c r="L6" s="13" t="s">
        <v>215</v>
      </c>
      <c r="M6" s="13" t="s">
        <v>215</v>
      </c>
      <c r="N6" s="13" t="s">
        <v>225</v>
      </c>
      <c r="O6" s="13"/>
      <c r="P6" s="13"/>
      <c r="Q6" s="13"/>
      <c r="R6" s="13"/>
      <c r="S6" s="13"/>
      <c r="T6" s="13" t="s">
        <v>225</v>
      </c>
      <c r="U6" s="13"/>
      <c r="V6" s="13"/>
      <c r="W6" s="13"/>
      <c r="X6" s="13"/>
      <c r="Y6" s="13"/>
      <c r="Z6" s="13"/>
      <c r="AA6" s="17" t="s">
        <v>225</v>
      </c>
      <c r="AB6" s="13"/>
      <c r="AC6" s="13"/>
      <c r="AD6" s="13" t="s">
        <v>215</v>
      </c>
      <c r="AE6" s="13"/>
      <c r="AF6" t="s">
        <v>2820</v>
      </c>
    </row>
    <row r="7" spans="1:32" ht="36" customHeight="1" x14ac:dyDescent="0.25">
      <c r="A7" s="14" t="s">
        <v>2821</v>
      </c>
      <c r="B7" s="13" t="s">
        <v>2822</v>
      </c>
      <c r="C7" s="13"/>
      <c r="D7" s="13"/>
      <c r="E7" s="13" t="s">
        <v>2822</v>
      </c>
      <c r="F7" s="13"/>
      <c r="G7" s="13"/>
      <c r="H7" s="13"/>
      <c r="I7" s="13"/>
      <c r="J7" s="13"/>
      <c r="K7" s="13"/>
      <c r="L7" s="13"/>
      <c r="M7" s="13"/>
      <c r="N7" s="13" t="s">
        <v>225</v>
      </c>
      <c r="O7" s="13"/>
      <c r="P7" s="13"/>
      <c r="Q7" s="13"/>
      <c r="R7" s="13"/>
      <c r="S7" s="13"/>
      <c r="T7" s="13" t="s">
        <v>225</v>
      </c>
      <c r="U7" s="13"/>
      <c r="V7" s="13"/>
      <c r="W7" s="13"/>
      <c r="X7" s="13"/>
      <c r="Y7" s="13"/>
      <c r="Z7" s="13"/>
      <c r="AA7" s="17" t="s">
        <v>225</v>
      </c>
      <c r="AB7" s="13"/>
      <c r="AC7" s="13"/>
      <c r="AD7" s="13" t="s">
        <v>225</v>
      </c>
      <c r="AE7" s="13"/>
      <c r="AF7" t="s">
        <v>225</v>
      </c>
    </row>
    <row r="8" spans="1:32" ht="36" customHeight="1" x14ac:dyDescent="0.25">
      <c r="A8" s="14" t="s">
        <v>2823</v>
      </c>
      <c r="B8" s="13" t="s">
        <v>215</v>
      </c>
      <c r="C8" s="13"/>
      <c r="D8" s="13"/>
      <c r="E8" s="13" t="s">
        <v>215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5845</v>
      </c>
      <c r="AB8" s="13"/>
      <c r="AC8" s="13"/>
      <c r="AD8" s="13"/>
      <c r="AE8" s="13"/>
      <c r="AF8" t="s">
        <v>225</v>
      </c>
    </row>
    <row r="9" spans="1:32" ht="36" customHeight="1" x14ac:dyDescent="0.25">
      <c r="A9" s="14" t="s">
        <v>2824</v>
      </c>
      <c r="B9" s="13" t="s">
        <v>2825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 t="s">
        <v>225</v>
      </c>
      <c r="O9" s="13"/>
      <c r="P9" s="13"/>
      <c r="Q9" s="13"/>
      <c r="R9" s="13"/>
      <c r="S9" s="13"/>
      <c r="T9" s="13" t="s">
        <v>225</v>
      </c>
      <c r="U9" s="13"/>
      <c r="V9" s="13"/>
      <c r="W9" s="13"/>
      <c r="X9" s="13"/>
      <c r="Y9" s="13"/>
      <c r="Z9" s="13"/>
      <c r="AA9" s="17" t="s">
        <v>225</v>
      </c>
      <c r="AB9" s="13"/>
      <c r="AC9" s="13"/>
      <c r="AD9" s="13"/>
      <c r="AE9" s="13"/>
      <c r="AF9" t="s">
        <v>225</v>
      </c>
    </row>
    <row r="10" spans="1:32" ht="36" customHeight="1" x14ac:dyDescent="0.25">
      <c r="A10" s="14" t="s">
        <v>2826</v>
      </c>
      <c r="B10" s="13" t="s">
        <v>225</v>
      </c>
      <c r="C10" s="13"/>
      <c r="D10" s="13"/>
      <c r="E10" s="13" t="s">
        <v>225</v>
      </c>
      <c r="F10" s="13" t="s">
        <v>225</v>
      </c>
      <c r="G10" s="13"/>
      <c r="H10" s="13"/>
      <c r="I10" s="13"/>
      <c r="J10" s="13"/>
      <c r="K10" s="13"/>
      <c r="L10" s="13"/>
      <c r="M10" s="13"/>
      <c r="N10" s="13" t="s">
        <v>225</v>
      </c>
      <c r="O10" s="13"/>
      <c r="P10" s="13"/>
      <c r="Q10" s="13"/>
      <c r="R10" s="13"/>
      <c r="S10" s="13"/>
      <c r="T10" s="13" t="s">
        <v>215</v>
      </c>
      <c r="U10" s="13"/>
      <c r="V10" s="13"/>
      <c r="W10" s="13"/>
      <c r="X10" s="13" t="s">
        <v>215</v>
      </c>
      <c r="Y10" s="13" t="s">
        <v>215</v>
      </c>
      <c r="Z10" s="13" t="s">
        <v>215</v>
      </c>
      <c r="AA10" s="17" t="s">
        <v>225</v>
      </c>
      <c r="AB10" s="13"/>
      <c r="AC10" s="13"/>
      <c r="AD10" s="13"/>
      <c r="AE10" s="13"/>
      <c r="AF10" t="s">
        <v>2827</v>
      </c>
    </row>
    <row r="11" spans="1:32" ht="23.1" customHeight="1" x14ac:dyDescent="0.25">
      <c r="A11" s="15" t="s">
        <v>2828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</row>
    <row r="12" spans="1:32" ht="36" customHeight="1" x14ac:dyDescent="0.25">
      <c r="A12" s="14" t="s">
        <v>2829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 t="s">
        <v>2830</v>
      </c>
      <c r="T12" s="13"/>
      <c r="U12" s="13"/>
      <c r="V12" s="13"/>
      <c r="W12" s="13"/>
      <c r="X12" s="13"/>
      <c r="Y12" s="13"/>
      <c r="Z12" s="13"/>
      <c r="AA12" s="17" t="s">
        <v>5845</v>
      </c>
      <c r="AB12" s="13"/>
      <c r="AC12" s="13"/>
      <c r="AD12" s="13"/>
      <c r="AE12" s="13"/>
      <c r="AF12" t="s">
        <v>225</v>
      </c>
    </row>
    <row r="13" spans="1:32" ht="36" customHeight="1" x14ac:dyDescent="0.25">
      <c r="A13" s="14" t="s">
        <v>2831</v>
      </c>
      <c r="B13" s="13" t="s">
        <v>2832</v>
      </c>
      <c r="C13" s="13"/>
      <c r="D13" s="13"/>
      <c r="E13" s="13" t="s">
        <v>2832</v>
      </c>
      <c r="F13" s="13" t="s">
        <v>2832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 t="s">
        <v>2833</v>
      </c>
      <c r="Z13" s="13"/>
      <c r="AA13" s="17" t="s">
        <v>2834</v>
      </c>
      <c r="AB13" s="13"/>
      <c r="AC13" s="13"/>
      <c r="AD13" s="13" t="s">
        <v>2832</v>
      </c>
      <c r="AE13" s="13"/>
      <c r="AF13" t="s">
        <v>2835</v>
      </c>
    </row>
    <row r="14" spans="1:32" ht="36" customHeight="1" x14ac:dyDescent="0.25">
      <c r="A14" s="14" t="s">
        <v>2836</v>
      </c>
      <c r="B14" s="13" t="s">
        <v>215</v>
      </c>
      <c r="C14" s="13"/>
      <c r="D14" s="13"/>
      <c r="E14" s="13" t="s">
        <v>215</v>
      </c>
      <c r="F14" s="13" t="s">
        <v>215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5847</v>
      </c>
      <c r="AB14" s="13"/>
      <c r="AC14" s="13"/>
      <c r="AD14" s="13" t="s">
        <v>215</v>
      </c>
      <c r="AE14" s="13"/>
      <c r="AF14" t="s">
        <v>2835</v>
      </c>
    </row>
    <row r="15" spans="1:32" ht="36" customHeight="1" x14ac:dyDescent="0.25">
      <c r="A15" s="14" t="s">
        <v>2837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 t="s">
        <v>2838</v>
      </c>
      <c r="Z15" s="13"/>
      <c r="AA15" s="17" t="s">
        <v>2838</v>
      </c>
      <c r="AB15" s="13"/>
      <c r="AC15" s="13"/>
      <c r="AD15" s="13"/>
      <c r="AE15" s="13"/>
      <c r="AF15" t="s">
        <v>2839</v>
      </c>
    </row>
    <row r="16" spans="1:32" ht="23.1" customHeight="1" x14ac:dyDescent="0.25">
      <c r="A16" s="15" t="s">
        <v>2840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5"/>
      <c r="AC16" s="15"/>
      <c r="AD16" s="15"/>
      <c r="AE16" s="15"/>
    </row>
    <row r="17" spans="1:32" ht="36" customHeight="1" x14ac:dyDescent="0.25">
      <c r="A17" s="14" t="s">
        <v>2841</v>
      </c>
      <c r="B17" s="13" t="s">
        <v>2842</v>
      </c>
      <c r="C17" s="13"/>
      <c r="D17" s="13"/>
      <c r="E17" s="13" t="s">
        <v>2842</v>
      </c>
      <c r="F17" s="13" t="s">
        <v>2842</v>
      </c>
      <c r="G17" s="13" t="s">
        <v>2843</v>
      </c>
      <c r="H17" s="13"/>
      <c r="I17" s="13"/>
      <c r="J17" s="13"/>
      <c r="K17" s="13"/>
      <c r="L17" s="13"/>
      <c r="M17" s="13"/>
      <c r="N17" s="13" t="s">
        <v>2842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2842</v>
      </c>
      <c r="AB17" s="13"/>
      <c r="AC17" s="13"/>
      <c r="AD17" s="13"/>
      <c r="AE17" s="13"/>
      <c r="AF17" t="s">
        <v>2844</v>
      </c>
    </row>
    <row r="18" spans="1:32" ht="36" customHeight="1" x14ac:dyDescent="0.25">
      <c r="A18" s="14" t="s">
        <v>2845</v>
      </c>
      <c r="B18" s="13" t="s">
        <v>215</v>
      </c>
      <c r="C18" s="13"/>
      <c r="D18" s="13"/>
      <c r="E18" s="13" t="s">
        <v>215</v>
      </c>
      <c r="F18" s="13" t="s">
        <v>215</v>
      </c>
      <c r="G18" s="13" t="s">
        <v>215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 t="s">
        <v>215</v>
      </c>
      <c r="T18" s="13"/>
      <c r="U18" s="13"/>
      <c r="V18" s="13"/>
      <c r="W18" s="13"/>
      <c r="X18" s="13"/>
      <c r="Y18" s="13"/>
      <c r="Z18" s="13"/>
      <c r="AA18" s="17" t="s">
        <v>215</v>
      </c>
      <c r="AB18" s="13"/>
      <c r="AC18" s="13"/>
      <c r="AD18" s="13"/>
      <c r="AE18" s="13"/>
      <c r="AF18" t="s">
        <v>215</v>
      </c>
    </row>
    <row r="19" spans="1:32" ht="36" customHeight="1" x14ac:dyDescent="0.25">
      <c r="A19" s="14" t="s">
        <v>2846</v>
      </c>
      <c r="B19" s="13" t="s">
        <v>215</v>
      </c>
      <c r="C19" s="13"/>
      <c r="D19" s="13"/>
      <c r="E19" s="13" t="s">
        <v>215</v>
      </c>
      <c r="F19" s="13"/>
      <c r="G19" s="13" t="s">
        <v>1883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5848</v>
      </c>
      <c r="AB19" s="13"/>
      <c r="AC19" s="13"/>
      <c r="AD19" s="13"/>
      <c r="AE19" s="13"/>
      <c r="AF19" t="s">
        <v>2847</v>
      </c>
    </row>
    <row r="20" spans="1:32" ht="36" customHeight="1" x14ac:dyDescent="0.25">
      <c r="A20" s="14" t="s">
        <v>2848</v>
      </c>
      <c r="B20" s="13" t="s">
        <v>2626</v>
      </c>
      <c r="C20" s="13"/>
      <c r="D20" s="13"/>
      <c r="E20" s="13"/>
      <c r="F20" s="13"/>
      <c r="G20" s="13" t="s">
        <v>2627</v>
      </c>
      <c r="H20" s="13"/>
      <c r="I20" s="13" t="s">
        <v>2628</v>
      </c>
      <c r="J20" s="13"/>
      <c r="K20" s="13" t="s">
        <v>2629</v>
      </c>
      <c r="L20" s="13" t="s">
        <v>2630</v>
      </c>
      <c r="M20" s="13" t="s">
        <v>2631</v>
      </c>
      <c r="N20" s="13"/>
      <c r="O20" s="13"/>
      <c r="P20" s="13"/>
      <c r="Q20" s="13"/>
      <c r="R20" s="13"/>
      <c r="S20" s="13"/>
      <c r="T20" s="13"/>
      <c r="U20" s="13"/>
      <c r="V20" s="13"/>
      <c r="W20" s="13" t="s">
        <v>1135</v>
      </c>
      <c r="X20" s="13" t="s">
        <v>2632</v>
      </c>
      <c r="Y20" s="13" t="s">
        <v>2633</v>
      </c>
      <c r="Z20" s="13"/>
      <c r="AA20" s="17" t="s">
        <v>5845</v>
      </c>
      <c r="AB20" s="13"/>
      <c r="AC20" s="13"/>
      <c r="AD20" s="13"/>
      <c r="AE20" s="13"/>
      <c r="AF20" t="s">
        <v>1346</v>
      </c>
    </row>
    <row r="21" spans="1:32" ht="36" customHeight="1" x14ac:dyDescent="0.25">
      <c r="A21" s="14" t="s">
        <v>2849</v>
      </c>
      <c r="B21" s="13" t="s">
        <v>611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228</v>
      </c>
      <c r="AB21" s="13"/>
      <c r="AC21" s="13"/>
      <c r="AD21" s="13"/>
      <c r="AE21" s="13"/>
      <c r="AF21" t="s">
        <v>1346</v>
      </c>
    </row>
    <row r="22" spans="1:32" ht="23.1" customHeight="1" x14ac:dyDescent="0.25">
      <c r="A22" s="15" t="s">
        <v>2850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 t="s">
        <v>228</v>
      </c>
      <c r="AB22" s="15"/>
      <c r="AC22" s="15"/>
      <c r="AD22" s="15"/>
      <c r="AE22" s="15"/>
      <c r="AF22" t="s">
        <v>2851</v>
      </c>
    </row>
    <row r="23" spans="1:32" ht="23.1" customHeight="1" x14ac:dyDescent="0.25">
      <c r="A23" s="15" t="s">
        <v>2852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15"/>
      <c r="AC23" s="15"/>
      <c r="AD23" s="15"/>
      <c r="AE23" s="15"/>
    </row>
    <row r="24" spans="1:32" ht="36" customHeight="1" x14ac:dyDescent="0.25">
      <c r="A24" s="14" t="s">
        <v>2853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2854</v>
      </c>
      <c r="AB24" s="13"/>
      <c r="AC24" s="13"/>
      <c r="AD24" s="13"/>
      <c r="AE24" s="13"/>
      <c r="AF24" t="s">
        <v>2855</v>
      </c>
    </row>
    <row r="25" spans="1:32" ht="36" customHeight="1" x14ac:dyDescent="0.25">
      <c r="A25" s="14" t="s">
        <v>2856</v>
      </c>
      <c r="B25" s="13" t="s">
        <v>215</v>
      </c>
      <c r="C25" s="13"/>
      <c r="D25" s="13"/>
      <c r="E25" s="13" t="s">
        <v>215</v>
      </c>
      <c r="F25" s="13" t="s">
        <v>215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 t="s">
        <v>215</v>
      </c>
      <c r="T25" s="13"/>
      <c r="U25" s="13"/>
      <c r="V25" s="13"/>
      <c r="W25" s="13"/>
      <c r="X25" s="13"/>
      <c r="Y25" s="13"/>
      <c r="Z25" s="13"/>
      <c r="AA25" s="17" t="s">
        <v>215</v>
      </c>
      <c r="AB25" s="13"/>
      <c r="AC25" s="13"/>
      <c r="AD25" s="13"/>
      <c r="AE25" s="13"/>
      <c r="AF25" t="s">
        <v>2857</v>
      </c>
    </row>
    <row r="26" spans="1:32" ht="23.1" customHeight="1" x14ac:dyDescent="0.25">
      <c r="A26" s="15" t="s">
        <v>2858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  <c r="AB26" s="15"/>
      <c r="AC26" s="15"/>
      <c r="AD26" s="15"/>
      <c r="AE26" s="15"/>
      <c r="AF26" t="s">
        <v>2859</v>
      </c>
    </row>
    <row r="27" spans="1:32" ht="36" customHeight="1" x14ac:dyDescent="0.25">
      <c r="A27" s="14" t="s">
        <v>2860</v>
      </c>
      <c r="B27" s="13" t="s">
        <v>2861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/>
      <c r="AB27" s="13"/>
      <c r="AC27" s="13"/>
      <c r="AD27" s="13"/>
      <c r="AE27" s="13"/>
      <c r="AF27" t="s">
        <v>1346</v>
      </c>
    </row>
    <row r="28" spans="1:32" ht="23.1" customHeight="1" x14ac:dyDescent="0.25">
      <c r="A28" s="15" t="s">
        <v>1623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15"/>
      <c r="AC28" s="15"/>
      <c r="AD28" s="15"/>
      <c r="AE28" s="15"/>
    </row>
    <row r="29" spans="1:32" ht="36" customHeight="1" x14ac:dyDescent="0.25">
      <c r="A29" s="14" t="s">
        <v>2862</v>
      </c>
      <c r="B29" s="13" t="s">
        <v>2863</v>
      </c>
      <c r="C29" s="13" t="s">
        <v>1771</v>
      </c>
      <c r="D29" s="13" t="s">
        <v>1771</v>
      </c>
      <c r="E29" s="13" t="s">
        <v>1771</v>
      </c>
      <c r="F29" s="13" t="s">
        <v>1771</v>
      </c>
      <c r="G29" s="13" t="s">
        <v>1771</v>
      </c>
      <c r="H29" s="13" t="s">
        <v>1771</v>
      </c>
      <c r="I29" s="13" t="s">
        <v>1771</v>
      </c>
      <c r="J29" s="13" t="s">
        <v>1771</v>
      </c>
      <c r="K29" s="13" t="s">
        <v>1771</v>
      </c>
      <c r="L29" s="13" t="s">
        <v>1771</v>
      </c>
      <c r="M29" s="13" t="s">
        <v>1771</v>
      </c>
      <c r="N29" s="13" t="s">
        <v>1771</v>
      </c>
      <c r="O29" s="13" t="s">
        <v>1771</v>
      </c>
      <c r="P29" s="13" t="s">
        <v>1771</v>
      </c>
      <c r="Q29" s="13" t="s">
        <v>1771</v>
      </c>
      <c r="R29" s="13" t="s">
        <v>1771</v>
      </c>
      <c r="S29" s="13" t="s">
        <v>1771</v>
      </c>
      <c r="T29" s="13" t="s">
        <v>1771</v>
      </c>
      <c r="U29" s="13" t="s">
        <v>1771</v>
      </c>
      <c r="V29" s="13" t="s">
        <v>1771</v>
      </c>
      <c r="W29" s="13" t="s">
        <v>1771</v>
      </c>
      <c r="X29" s="13" t="s">
        <v>1771</v>
      </c>
      <c r="Y29" s="13" t="s">
        <v>1771</v>
      </c>
      <c r="Z29" s="13" t="s">
        <v>1771</v>
      </c>
      <c r="AA29" s="17" t="s">
        <v>2864</v>
      </c>
      <c r="AB29" s="13" t="s">
        <v>1771</v>
      </c>
      <c r="AC29" s="13" t="s">
        <v>1771</v>
      </c>
      <c r="AD29" s="13" t="s">
        <v>1771</v>
      </c>
      <c r="AE29" s="13" t="s">
        <v>1771</v>
      </c>
      <c r="AF29" t="s">
        <v>2865</v>
      </c>
    </row>
    <row r="30" spans="1:32" ht="36" customHeight="1" x14ac:dyDescent="0.25">
      <c r="A30" s="14" t="s">
        <v>2866</v>
      </c>
      <c r="B30" s="13" t="s">
        <v>2867</v>
      </c>
      <c r="C30" s="13"/>
      <c r="D30" s="13"/>
      <c r="E30" s="13" t="s">
        <v>2868</v>
      </c>
      <c r="F30" s="13" t="s">
        <v>2869</v>
      </c>
      <c r="G30" s="13" t="s">
        <v>2870</v>
      </c>
      <c r="H30" s="13" t="s">
        <v>2871</v>
      </c>
      <c r="I30" s="13" t="s">
        <v>2872</v>
      </c>
      <c r="J30" s="13"/>
      <c r="K30" s="13" t="s">
        <v>2873</v>
      </c>
      <c r="L30" s="13" t="s">
        <v>2874</v>
      </c>
      <c r="M30" s="13" t="s">
        <v>2874</v>
      </c>
      <c r="N30" s="13" t="s">
        <v>2875</v>
      </c>
      <c r="O30" s="13" t="s">
        <v>2876</v>
      </c>
      <c r="P30" s="13" t="s">
        <v>2877</v>
      </c>
      <c r="Q30" s="13"/>
      <c r="R30" s="13" t="s">
        <v>2878</v>
      </c>
      <c r="S30" s="13"/>
      <c r="T30" s="13" t="s">
        <v>2879</v>
      </c>
      <c r="U30" s="13" t="s">
        <v>2880</v>
      </c>
      <c r="V30" s="13" t="s">
        <v>2881</v>
      </c>
      <c r="W30" s="13" t="s">
        <v>2882</v>
      </c>
      <c r="X30" s="13" t="s">
        <v>2883</v>
      </c>
      <c r="Y30" s="13" t="s">
        <v>2884</v>
      </c>
      <c r="Z30" s="13" t="s">
        <v>2885</v>
      </c>
      <c r="AA30" s="17" t="s">
        <v>2886</v>
      </c>
      <c r="AB30" s="13"/>
      <c r="AC30" s="13"/>
      <c r="AD30" s="13" t="s">
        <v>2887</v>
      </c>
      <c r="AE30" s="13"/>
      <c r="AF30" t="s">
        <v>2888</v>
      </c>
    </row>
    <row r="31" spans="1:32" ht="23.1" customHeight="1" x14ac:dyDescent="0.25">
      <c r="A31" s="15" t="s">
        <v>2889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15"/>
      <c r="AC31" s="15"/>
      <c r="AD31" s="15"/>
      <c r="AE31" s="15"/>
    </row>
    <row r="32" spans="1:32" ht="36" customHeight="1" x14ac:dyDescent="0.25">
      <c r="A32" s="14" t="s">
        <v>2890</v>
      </c>
      <c r="B32" s="13" t="s">
        <v>215</v>
      </c>
      <c r="C32" s="13"/>
      <c r="D32" s="13"/>
      <c r="E32" s="13"/>
      <c r="F32" s="13"/>
      <c r="G32" s="13" t="s">
        <v>2891</v>
      </c>
      <c r="H32" s="13"/>
      <c r="I32" s="13"/>
      <c r="J32" s="13"/>
      <c r="K32" s="13" t="s">
        <v>215</v>
      </c>
      <c r="L32" s="13" t="s">
        <v>215</v>
      </c>
      <c r="M32" s="13" t="s">
        <v>215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 t="s">
        <v>5849</v>
      </c>
      <c r="AB32" s="13"/>
      <c r="AC32" s="13"/>
      <c r="AD32" s="13"/>
      <c r="AE32" s="13"/>
      <c r="AF32" t="s">
        <v>2892</v>
      </c>
    </row>
    <row r="33" spans="1:32" ht="36" customHeight="1" x14ac:dyDescent="0.25">
      <c r="A33" s="14" t="s">
        <v>2893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 t="s">
        <v>2894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/>
      <c r="AB33" s="13"/>
      <c r="AC33" s="13"/>
      <c r="AD33" s="13"/>
      <c r="AE33" s="13"/>
      <c r="AF33" t="s">
        <v>1346</v>
      </c>
    </row>
    <row r="34" spans="1:32" ht="36" customHeight="1" x14ac:dyDescent="0.25">
      <c r="A34" s="14" t="s">
        <v>2895</v>
      </c>
      <c r="B34" s="13"/>
      <c r="C34" s="13"/>
      <c r="D34" s="13"/>
      <c r="E34" s="13"/>
      <c r="F34" s="13"/>
      <c r="G34" s="13"/>
      <c r="H34" s="13"/>
      <c r="I34" s="13"/>
      <c r="J34" s="13"/>
      <c r="K34" s="13" t="s">
        <v>2896</v>
      </c>
      <c r="L34" s="13" t="s">
        <v>2897</v>
      </c>
      <c r="M34" s="13" t="s">
        <v>2898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/>
      <c r="AB34" s="13"/>
      <c r="AC34" s="13"/>
      <c r="AD34" s="13"/>
      <c r="AE34" s="13"/>
      <c r="AF34" t="s">
        <v>1346</v>
      </c>
    </row>
    <row r="35" spans="1:32" ht="36" customHeight="1" x14ac:dyDescent="0.25">
      <c r="A35" s="14" t="s">
        <v>2899</v>
      </c>
      <c r="B35" s="13"/>
      <c r="C35" s="13"/>
      <c r="D35" s="13"/>
      <c r="E35" s="13"/>
      <c r="F35" s="13"/>
      <c r="G35" s="13" t="s">
        <v>300</v>
      </c>
      <c r="H35" s="13"/>
      <c r="I35" s="13"/>
      <c r="J35" s="13"/>
      <c r="K35" s="13" t="s">
        <v>215</v>
      </c>
      <c r="L35" s="13" t="s">
        <v>215</v>
      </c>
      <c r="M35" s="13" t="s">
        <v>215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/>
      <c r="AB35" s="13"/>
      <c r="AC35" s="13"/>
      <c r="AD35" s="13"/>
      <c r="AE35" s="13"/>
      <c r="AF35" t="s">
        <v>1346</v>
      </c>
    </row>
    <row r="36" spans="1:32" ht="36" customHeight="1" x14ac:dyDescent="0.25">
      <c r="A36" s="14" t="s">
        <v>2900</v>
      </c>
      <c r="B36" s="13" t="s">
        <v>215</v>
      </c>
      <c r="C36" s="13"/>
      <c r="D36" s="13"/>
      <c r="E36" s="13"/>
      <c r="F36" s="13"/>
      <c r="G36" s="13" t="s">
        <v>251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215</v>
      </c>
      <c r="AB36" s="13"/>
      <c r="AC36" s="13"/>
      <c r="AD36" s="13"/>
      <c r="AE36" s="13"/>
      <c r="AF36" t="s">
        <v>2901</v>
      </c>
    </row>
  </sheetData>
  <mergeCells count="1">
    <mergeCell ref="A1:A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16"/>
  <sheetViews>
    <sheetView tabSelected="1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Directory'!A1","Portability &amp; Bridging"),"Portability &amp; Bridging")</f>
        <v>Portability &amp; Bridging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2902</v>
      </c>
      <c r="B3" s="13" t="s">
        <v>340</v>
      </c>
      <c r="C3" s="13" t="s">
        <v>2903</v>
      </c>
      <c r="D3" s="13" t="s">
        <v>2904</v>
      </c>
      <c r="E3" s="13" t="s">
        <v>2905</v>
      </c>
      <c r="F3" s="13" t="s">
        <v>2906</v>
      </c>
      <c r="G3" s="13" t="s">
        <v>2907</v>
      </c>
      <c r="H3" s="13" t="s">
        <v>2908</v>
      </c>
      <c r="I3" s="13" t="s">
        <v>225</v>
      </c>
      <c r="J3" s="13" t="s">
        <v>225</v>
      </c>
      <c r="K3" s="13" t="s">
        <v>2909</v>
      </c>
      <c r="L3" s="13" t="s">
        <v>2910</v>
      </c>
      <c r="M3" s="13" t="s">
        <v>2903</v>
      </c>
      <c r="N3" s="13" t="s">
        <v>2911</v>
      </c>
      <c r="O3" s="13" t="s">
        <v>2912</v>
      </c>
      <c r="P3" s="13"/>
      <c r="Q3" s="13" t="s">
        <v>2913</v>
      </c>
      <c r="R3" s="13" t="s">
        <v>2914</v>
      </c>
      <c r="S3" s="13"/>
      <c r="T3" s="13" t="s">
        <v>2912</v>
      </c>
      <c r="U3" s="13" t="s">
        <v>2912</v>
      </c>
      <c r="V3" s="13" t="s">
        <v>2912</v>
      </c>
      <c r="W3" s="13" t="s">
        <v>2915</v>
      </c>
      <c r="X3" s="13" t="s">
        <v>2916</v>
      </c>
      <c r="Y3" s="13" t="s">
        <v>2914</v>
      </c>
      <c r="Z3" s="13" t="s">
        <v>2917</v>
      </c>
      <c r="AA3" s="17" t="s">
        <v>2918</v>
      </c>
      <c r="AB3" s="13" t="s">
        <v>354</v>
      </c>
      <c r="AC3" s="13" t="s">
        <v>2914</v>
      </c>
      <c r="AD3" s="13" t="s">
        <v>2919</v>
      </c>
      <c r="AE3" s="13" t="s">
        <v>2920</v>
      </c>
      <c r="AF3" t="s">
        <v>2921</v>
      </c>
    </row>
    <row r="4" spans="1:32" ht="36" customHeight="1" x14ac:dyDescent="0.25">
      <c r="A4" s="14" t="s">
        <v>2922</v>
      </c>
      <c r="B4" s="13" t="s">
        <v>2923</v>
      </c>
      <c r="C4" s="13"/>
      <c r="D4" s="13"/>
      <c r="E4" s="13" t="s">
        <v>2924</v>
      </c>
      <c r="F4" s="13"/>
      <c r="G4" s="13" t="s">
        <v>2925</v>
      </c>
      <c r="H4" s="13"/>
      <c r="I4" s="13" t="s">
        <v>2926</v>
      </c>
      <c r="J4" s="13"/>
      <c r="K4" s="13" t="s">
        <v>2927</v>
      </c>
      <c r="L4" s="13" t="s">
        <v>2928</v>
      </c>
      <c r="M4" s="13" t="s">
        <v>2929</v>
      </c>
      <c r="N4" s="13"/>
      <c r="O4" s="13"/>
      <c r="P4" s="13"/>
      <c r="Q4" s="13" t="s">
        <v>215</v>
      </c>
      <c r="R4" s="13"/>
      <c r="S4" s="13"/>
      <c r="T4" s="13"/>
      <c r="U4" s="13"/>
      <c r="V4" s="13"/>
      <c r="W4" s="13"/>
      <c r="X4" s="13"/>
      <c r="Y4" s="13" t="s">
        <v>2930</v>
      </c>
      <c r="Z4" s="13" t="s">
        <v>2931</v>
      </c>
      <c r="AA4" s="17" t="s">
        <v>225</v>
      </c>
      <c r="AB4" s="13" t="s">
        <v>215</v>
      </c>
      <c r="AC4" s="13"/>
      <c r="AD4" s="13"/>
      <c r="AE4" s="13" t="s">
        <v>225</v>
      </c>
      <c r="AF4" t="s">
        <v>2932</v>
      </c>
    </row>
    <row r="5" spans="1:32" ht="36" customHeight="1" x14ac:dyDescent="0.25">
      <c r="A5" s="14" t="s">
        <v>2933</v>
      </c>
      <c r="B5" s="13" t="s">
        <v>2934</v>
      </c>
      <c r="C5" s="13"/>
      <c r="D5" s="13"/>
      <c r="E5" s="13"/>
      <c r="F5" s="13"/>
      <c r="G5" s="13" t="s">
        <v>2935</v>
      </c>
      <c r="H5" s="13"/>
      <c r="I5" s="13" t="s">
        <v>228</v>
      </c>
      <c r="J5" s="13"/>
      <c r="K5" s="13" t="s">
        <v>2936</v>
      </c>
      <c r="L5" s="13" t="s">
        <v>2937</v>
      </c>
      <c r="M5" s="13" t="s">
        <v>2938</v>
      </c>
      <c r="N5" s="13"/>
      <c r="O5" s="13"/>
      <c r="P5" s="13"/>
      <c r="Q5" s="13" t="s">
        <v>215</v>
      </c>
      <c r="R5" s="13"/>
      <c r="S5" s="13"/>
      <c r="T5" s="13"/>
      <c r="U5" s="13" t="s">
        <v>2939</v>
      </c>
      <c r="V5" s="13"/>
      <c r="W5" s="13"/>
      <c r="X5" s="13"/>
      <c r="Y5" s="13" t="s">
        <v>2940</v>
      </c>
      <c r="Z5" s="13" t="s">
        <v>2941</v>
      </c>
      <c r="AA5" s="17" t="s">
        <v>5850</v>
      </c>
      <c r="AB5" s="13" t="s">
        <v>2942</v>
      </c>
      <c r="AC5" s="13"/>
      <c r="AD5" s="13"/>
      <c r="AE5" s="13" t="s">
        <v>225</v>
      </c>
      <c r="AF5" t="s">
        <v>2943</v>
      </c>
    </row>
    <row r="6" spans="1:32" ht="36" customHeight="1" x14ac:dyDescent="0.25">
      <c r="A6" s="14" t="s">
        <v>2944</v>
      </c>
      <c r="B6" s="13" t="s">
        <v>340</v>
      </c>
      <c r="C6" s="13" t="s">
        <v>2945</v>
      </c>
      <c r="D6" s="13" t="s">
        <v>2946</v>
      </c>
      <c r="E6" s="13" t="s">
        <v>2945</v>
      </c>
      <c r="F6" s="13" t="s">
        <v>2947</v>
      </c>
      <c r="G6" s="13" t="s">
        <v>2948</v>
      </c>
      <c r="H6" s="13" t="s">
        <v>2949</v>
      </c>
      <c r="I6" s="13" t="s">
        <v>225</v>
      </c>
      <c r="J6" s="13" t="s">
        <v>1236</v>
      </c>
      <c r="K6" s="13" t="s">
        <v>2950</v>
      </c>
      <c r="L6" s="13" t="s">
        <v>2950</v>
      </c>
      <c r="M6" s="13" t="s">
        <v>2950</v>
      </c>
      <c r="N6" s="13" t="s">
        <v>2951</v>
      </c>
      <c r="O6" s="13" t="s">
        <v>225</v>
      </c>
      <c r="P6" s="13"/>
      <c r="Q6" s="13" t="s">
        <v>2952</v>
      </c>
      <c r="R6" s="13" t="s">
        <v>2953</v>
      </c>
      <c r="S6" s="13" t="s">
        <v>225</v>
      </c>
      <c r="T6" s="13" t="s">
        <v>225</v>
      </c>
      <c r="U6" s="13" t="s">
        <v>225</v>
      </c>
      <c r="V6" s="13" t="s">
        <v>2954</v>
      </c>
      <c r="W6" s="13" t="s">
        <v>2955</v>
      </c>
      <c r="X6" s="13" t="s">
        <v>2956</v>
      </c>
      <c r="Y6" s="13" t="s">
        <v>2957</v>
      </c>
      <c r="Z6" s="13" t="s">
        <v>2958</v>
      </c>
      <c r="AA6" s="17" t="s">
        <v>225</v>
      </c>
      <c r="AB6" s="13" t="s">
        <v>2959</v>
      </c>
      <c r="AC6" s="13" t="s">
        <v>225</v>
      </c>
      <c r="AD6" s="13" t="s">
        <v>2952</v>
      </c>
      <c r="AE6" s="13" t="s">
        <v>225</v>
      </c>
      <c r="AF6" t="s">
        <v>2960</v>
      </c>
    </row>
    <row r="7" spans="1:32" ht="36" customHeight="1" x14ac:dyDescent="0.25">
      <c r="A7" s="14" t="s">
        <v>2961</v>
      </c>
      <c r="B7" s="13" t="s">
        <v>2962</v>
      </c>
      <c r="C7" s="13" t="s">
        <v>2963</v>
      </c>
      <c r="D7" s="13" t="s">
        <v>2963</v>
      </c>
      <c r="E7" s="13" t="s">
        <v>2964</v>
      </c>
      <c r="F7" s="13" t="s">
        <v>2965</v>
      </c>
      <c r="G7" s="13" t="s">
        <v>2966</v>
      </c>
      <c r="H7" s="13" t="s">
        <v>2963</v>
      </c>
      <c r="I7" s="13" t="s">
        <v>1236</v>
      </c>
      <c r="J7" s="13" t="s">
        <v>1236</v>
      </c>
      <c r="K7" s="13" t="s">
        <v>2965</v>
      </c>
      <c r="L7" s="13" t="s">
        <v>2967</v>
      </c>
      <c r="M7" s="13" t="s">
        <v>2968</v>
      </c>
      <c r="N7" s="13" t="s">
        <v>2963</v>
      </c>
      <c r="O7" s="13" t="s">
        <v>225</v>
      </c>
      <c r="P7" s="13"/>
      <c r="Q7" s="13" t="s">
        <v>2963</v>
      </c>
      <c r="R7" s="13" t="s">
        <v>2969</v>
      </c>
      <c r="S7" s="13" t="s">
        <v>225</v>
      </c>
      <c r="T7" s="13" t="s">
        <v>225</v>
      </c>
      <c r="U7" s="13" t="s">
        <v>225</v>
      </c>
      <c r="V7" s="13" t="s">
        <v>2964</v>
      </c>
      <c r="W7" s="13" t="s">
        <v>228</v>
      </c>
      <c r="X7" s="13" t="s">
        <v>228</v>
      </c>
      <c r="Y7" s="13" t="s">
        <v>2964</v>
      </c>
      <c r="Z7" s="13" t="s">
        <v>2964</v>
      </c>
      <c r="AA7" s="17" t="s">
        <v>225</v>
      </c>
      <c r="AB7" s="13"/>
      <c r="AC7" s="13" t="s">
        <v>225</v>
      </c>
      <c r="AD7" s="13" t="s">
        <v>225</v>
      </c>
      <c r="AE7" s="13" t="s">
        <v>225</v>
      </c>
      <c r="AF7" t="s">
        <v>2970</v>
      </c>
    </row>
    <row r="8" spans="1:32" ht="36" customHeight="1" x14ac:dyDescent="0.25">
      <c r="A8" s="14" t="s">
        <v>2971</v>
      </c>
      <c r="B8" s="13" t="s">
        <v>2972</v>
      </c>
      <c r="C8" s="13" t="s">
        <v>2973</v>
      </c>
      <c r="D8" s="13" t="s">
        <v>2973</v>
      </c>
      <c r="E8" s="13" t="s">
        <v>2974</v>
      </c>
      <c r="F8" s="13" t="s">
        <v>2975</v>
      </c>
      <c r="G8" s="13" t="s">
        <v>2976</v>
      </c>
      <c r="H8" s="13" t="s">
        <v>2973</v>
      </c>
      <c r="I8" s="13" t="s">
        <v>1236</v>
      </c>
      <c r="J8" s="13" t="s">
        <v>1236</v>
      </c>
      <c r="K8" s="13" t="s">
        <v>2977</v>
      </c>
      <c r="L8" s="13" t="s">
        <v>1504</v>
      </c>
      <c r="M8" s="13"/>
      <c r="N8" s="13" t="s">
        <v>2973</v>
      </c>
      <c r="O8" s="13" t="s">
        <v>225</v>
      </c>
      <c r="P8" s="13"/>
      <c r="Q8" s="13" t="s">
        <v>2973</v>
      </c>
      <c r="R8" s="13"/>
      <c r="S8" s="13" t="s">
        <v>225</v>
      </c>
      <c r="T8" s="13" t="s">
        <v>225</v>
      </c>
      <c r="U8" s="13" t="s">
        <v>225</v>
      </c>
      <c r="V8" s="13" t="s">
        <v>2978</v>
      </c>
      <c r="W8" s="13" t="s">
        <v>2979</v>
      </c>
      <c r="X8" s="13"/>
      <c r="Y8" s="13" t="s">
        <v>2980</v>
      </c>
      <c r="Z8" s="13" t="s">
        <v>2974</v>
      </c>
      <c r="AA8" s="17" t="s">
        <v>225</v>
      </c>
      <c r="AB8" s="13" t="s">
        <v>225</v>
      </c>
      <c r="AC8" s="13" t="s">
        <v>225</v>
      </c>
      <c r="AD8" s="13" t="s">
        <v>225</v>
      </c>
      <c r="AE8" s="13" t="s">
        <v>225</v>
      </c>
      <c r="AF8" t="s">
        <v>2981</v>
      </c>
    </row>
    <row r="9" spans="1:32" ht="36" customHeight="1" x14ac:dyDescent="0.25">
      <c r="A9" s="14" t="s">
        <v>2982</v>
      </c>
      <c r="B9" s="13" t="s">
        <v>2983</v>
      </c>
      <c r="C9" s="13" t="s">
        <v>2984</v>
      </c>
      <c r="D9" s="13"/>
      <c r="E9" s="13" t="s">
        <v>2985</v>
      </c>
      <c r="F9" s="13"/>
      <c r="G9" s="13" t="s">
        <v>2986</v>
      </c>
      <c r="H9" s="13" t="s">
        <v>2987</v>
      </c>
      <c r="I9" s="13" t="s">
        <v>2988</v>
      </c>
      <c r="J9" s="13" t="s">
        <v>2989</v>
      </c>
      <c r="K9" s="13" t="s">
        <v>2990</v>
      </c>
      <c r="L9" s="13" t="s">
        <v>2991</v>
      </c>
      <c r="M9" s="13" t="s">
        <v>2992</v>
      </c>
      <c r="N9" s="13" t="s">
        <v>2993</v>
      </c>
      <c r="O9" s="13" t="s">
        <v>2994</v>
      </c>
      <c r="P9" s="13" t="s">
        <v>2649</v>
      </c>
      <c r="Q9" s="13" t="s">
        <v>2995</v>
      </c>
      <c r="R9" s="13" t="s">
        <v>2996</v>
      </c>
      <c r="S9" s="13" t="s">
        <v>2652</v>
      </c>
      <c r="T9" s="13" t="s">
        <v>2653</v>
      </c>
      <c r="U9" s="13" t="s">
        <v>2997</v>
      </c>
      <c r="V9" s="13" t="s">
        <v>2998</v>
      </c>
      <c r="W9" s="13" t="s">
        <v>2999</v>
      </c>
      <c r="X9" s="13" t="s">
        <v>3000</v>
      </c>
      <c r="Y9" s="13" t="s">
        <v>3001</v>
      </c>
      <c r="Z9" s="13" t="s">
        <v>3002</v>
      </c>
      <c r="AA9" s="17" t="s">
        <v>3003</v>
      </c>
      <c r="AB9" s="13" t="s">
        <v>225</v>
      </c>
      <c r="AC9" s="13" t="s">
        <v>2647</v>
      </c>
      <c r="AD9" s="13" t="s">
        <v>3004</v>
      </c>
      <c r="AE9" s="13" t="s">
        <v>3005</v>
      </c>
      <c r="AF9" t="s">
        <v>3006</v>
      </c>
    </row>
    <row r="10" spans="1:32" ht="23.1" customHeight="1" x14ac:dyDescent="0.25">
      <c r="A10" s="15" t="s">
        <v>3007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  <c r="AF10" t="s">
        <v>3008</v>
      </c>
    </row>
    <row r="11" spans="1:32" ht="36" customHeight="1" x14ac:dyDescent="0.25">
      <c r="A11" s="14" t="s">
        <v>3009</v>
      </c>
      <c r="B11" s="13" t="s">
        <v>228</v>
      </c>
      <c r="C11" s="13" t="s">
        <v>1983</v>
      </c>
      <c r="D11" s="13" t="s">
        <v>3010</v>
      </c>
      <c r="E11" s="13" t="s">
        <v>343</v>
      </c>
      <c r="F11" s="13" t="s">
        <v>215</v>
      </c>
      <c r="G11" s="13" t="s">
        <v>3011</v>
      </c>
      <c r="H11" s="13" t="s">
        <v>3012</v>
      </c>
      <c r="I11" s="13" t="s">
        <v>225</v>
      </c>
      <c r="J11" s="13" t="s">
        <v>225</v>
      </c>
      <c r="K11" s="13" t="s">
        <v>225</v>
      </c>
      <c r="L11" s="13" t="s">
        <v>225</v>
      </c>
      <c r="M11" s="13" t="s">
        <v>1983</v>
      </c>
      <c r="N11" s="13" t="s">
        <v>215</v>
      </c>
      <c r="O11" s="13" t="s">
        <v>225</v>
      </c>
      <c r="P11" s="13"/>
      <c r="Q11" s="13" t="s">
        <v>215</v>
      </c>
      <c r="R11" s="13" t="s">
        <v>225</v>
      </c>
      <c r="S11" s="13"/>
      <c r="T11" s="13" t="s">
        <v>225</v>
      </c>
      <c r="U11" s="13" t="s">
        <v>225</v>
      </c>
      <c r="V11" s="13" t="s">
        <v>225</v>
      </c>
      <c r="W11" s="13"/>
      <c r="X11" s="13"/>
      <c r="Y11" s="13" t="s">
        <v>225</v>
      </c>
      <c r="Z11" s="13" t="s">
        <v>225</v>
      </c>
      <c r="AA11" s="17" t="s">
        <v>215</v>
      </c>
      <c r="AB11" s="13" t="s">
        <v>3013</v>
      </c>
      <c r="AC11" s="13" t="s">
        <v>225</v>
      </c>
      <c r="AD11" s="13"/>
      <c r="AE11" s="13" t="s">
        <v>225</v>
      </c>
      <c r="AF11" t="s">
        <v>2921</v>
      </c>
    </row>
    <row r="12" spans="1:32" ht="36" customHeight="1" x14ac:dyDescent="0.25">
      <c r="A12" s="14" t="s">
        <v>3014</v>
      </c>
      <c r="B12" s="13" t="s">
        <v>228</v>
      </c>
      <c r="C12" s="13" t="s">
        <v>1983</v>
      </c>
      <c r="D12" s="13"/>
      <c r="E12" s="13" t="s">
        <v>225</v>
      </c>
      <c r="F12" s="13" t="s">
        <v>225</v>
      </c>
      <c r="G12" s="13" t="s">
        <v>3011</v>
      </c>
      <c r="H12" s="13" t="s">
        <v>3012</v>
      </c>
      <c r="I12" s="13" t="s">
        <v>225</v>
      </c>
      <c r="J12" s="13" t="s">
        <v>225</v>
      </c>
      <c r="K12" s="13" t="s">
        <v>225</v>
      </c>
      <c r="L12" s="13" t="s">
        <v>225</v>
      </c>
      <c r="M12" s="13" t="s">
        <v>225</v>
      </c>
      <c r="N12" s="13" t="s">
        <v>215</v>
      </c>
      <c r="O12" s="13" t="s">
        <v>225</v>
      </c>
      <c r="P12" s="13"/>
      <c r="Q12" s="13" t="s">
        <v>215</v>
      </c>
      <c r="R12" s="13" t="s">
        <v>225</v>
      </c>
      <c r="S12" s="13"/>
      <c r="T12" s="13" t="s">
        <v>225</v>
      </c>
      <c r="U12" s="13" t="s">
        <v>225</v>
      </c>
      <c r="V12" s="13" t="s">
        <v>225</v>
      </c>
      <c r="W12" s="13"/>
      <c r="X12" s="13"/>
      <c r="Y12" s="13" t="s">
        <v>225</v>
      </c>
      <c r="Z12" s="13" t="s">
        <v>225</v>
      </c>
      <c r="AA12" s="17" t="s">
        <v>225</v>
      </c>
      <c r="AB12" s="13"/>
      <c r="AC12" s="13" t="s">
        <v>225</v>
      </c>
      <c r="AD12" s="13"/>
      <c r="AE12" s="13" t="s">
        <v>225</v>
      </c>
      <c r="AF12" t="s">
        <v>2921</v>
      </c>
    </row>
    <row r="13" spans="1:32" ht="36" customHeight="1" x14ac:dyDescent="0.25">
      <c r="A13" s="14" t="s">
        <v>3015</v>
      </c>
      <c r="B13" s="13" t="s">
        <v>228</v>
      </c>
      <c r="C13" s="13" t="s">
        <v>225</v>
      </c>
      <c r="D13" s="13" t="s">
        <v>225</v>
      </c>
      <c r="E13" s="13" t="s">
        <v>225</v>
      </c>
      <c r="F13" s="13" t="s">
        <v>225</v>
      </c>
      <c r="G13" s="13" t="s">
        <v>3016</v>
      </c>
      <c r="H13" s="13" t="s">
        <v>225</v>
      </c>
      <c r="I13" s="13" t="s">
        <v>225</v>
      </c>
      <c r="J13" s="13" t="s">
        <v>225</v>
      </c>
      <c r="K13" s="13" t="s">
        <v>225</v>
      </c>
      <c r="L13" s="13" t="s">
        <v>225</v>
      </c>
      <c r="M13" s="13" t="s">
        <v>225</v>
      </c>
      <c r="N13" s="13" t="s">
        <v>225</v>
      </c>
      <c r="O13" s="13" t="s">
        <v>225</v>
      </c>
      <c r="P13" s="13" t="s">
        <v>225</v>
      </c>
      <c r="Q13" s="13" t="s">
        <v>225</v>
      </c>
      <c r="R13" s="13" t="s">
        <v>225</v>
      </c>
      <c r="S13" s="13"/>
      <c r="T13" s="13" t="s">
        <v>225</v>
      </c>
      <c r="U13" s="13" t="s">
        <v>225</v>
      </c>
      <c r="V13" s="13" t="s">
        <v>225</v>
      </c>
      <c r="W13" s="13"/>
      <c r="X13" s="13"/>
      <c r="Y13" s="13" t="s">
        <v>225</v>
      </c>
      <c r="Z13" s="13" t="s">
        <v>225</v>
      </c>
      <c r="AA13" s="17" t="s">
        <v>225</v>
      </c>
      <c r="AB13" s="13" t="s">
        <v>225</v>
      </c>
      <c r="AC13" s="13" t="s">
        <v>225</v>
      </c>
      <c r="AD13" s="13"/>
      <c r="AE13" s="13" t="s">
        <v>225</v>
      </c>
      <c r="AF13" t="s">
        <v>2921</v>
      </c>
    </row>
    <row r="14" spans="1:32" ht="36" customHeight="1" x14ac:dyDescent="0.25">
      <c r="A14" s="14" t="s">
        <v>3017</v>
      </c>
      <c r="B14" s="13" t="s">
        <v>228</v>
      </c>
      <c r="C14" s="13" t="s">
        <v>225</v>
      </c>
      <c r="D14" s="13" t="s">
        <v>225</v>
      </c>
      <c r="E14" s="13" t="s">
        <v>225</v>
      </c>
      <c r="F14" s="13" t="s">
        <v>225</v>
      </c>
      <c r="G14" s="13" t="s">
        <v>3018</v>
      </c>
      <c r="H14" s="13" t="s">
        <v>225</v>
      </c>
      <c r="I14" s="13" t="s">
        <v>225</v>
      </c>
      <c r="J14" s="13" t="s">
        <v>225</v>
      </c>
      <c r="K14" s="13" t="s">
        <v>225</v>
      </c>
      <c r="L14" s="13" t="s">
        <v>225</v>
      </c>
      <c r="M14" s="13" t="s">
        <v>225</v>
      </c>
      <c r="N14" s="13" t="s">
        <v>225</v>
      </c>
      <c r="O14" s="13" t="s">
        <v>225</v>
      </c>
      <c r="P14" s="13" t="s">
        <v>225</v>
      </c>
      <c r="Q14" s="13" t="s">
        <v>225</v>
      </c>
      <c r="R14" s="13" t="s">
        <v>225</v>
      </c>
      <c r="S14" s="13"/>
      <c r="T14" s="13" t="s">
        <v>225</v>
      </c>
      <c r="U14" s="13" t="s">
        <v>225</v>
      </c>
      <c r="V14" s="13" t="s">
        <v>225</v>
      </c>
      <c r="W14" s="13"/>
      <c r="X14" s="13"/>
      <c r="Y14" s="13" t="s">
        <v>225</v>
      </c>
      <c r="Z14" s="13" t="s">
        <v>225</v>
      </c>
      <c r="AA14" s="17" t="s">
        <v>225</v>
      </c>
      <c r="AB14" s="13" t="s">
        <v>225</v>
      </c>
      <c r="AC14" s="13" t="s">
        <v>225</v>
      </c>
      <c r="AD14" s="13"/>
      <c r="AE14" s="13" t="s">
        <v>225</v>
      </c>
      <c r="AF14" t="s">
        <v>2921</v>
      </c>
    </row>
    <row r="15" spans="1:32" ht="36" customHeight="1" x14ac:dyDescent="0.25">
      <c r="A15" s="14" t="s">
        <v>3019</v>
      </c>
      <c r="B15" s="13" t="s">
        <v>225</v>
      </c>
      <c r="C15" s="13" t="s">
        <v>225</v>
      </c>
      <c r="D15" s="13" t="s">
        <v>225</v>
      </c>
      <c r="E15" s="13" t="s">
        <v>225</v>
      </c>
      <c r="F15" s="13" t="s">
        <v>225</v>
      </c>
      <c r="G15" s="13" t="s">
        <v>3020</v>
      </c>
      <c r="H15" s="13" t="s">
        <v>225</v>
      </c>
      <c r="I15" s="13" t="s">
        <v>3021</v>
      </c>
      <c r="J15" s="13" t="s">
        <v>485</v>
      </c>
      <c r="K15" s="13" t="s">
        <v>3022</v>
      </c>
      <c r="L15" s="13" t="s">
        <v>225</v>
      </c>
      <c r="M15" s="13" t="s">
        <v>485</v>
      </c>
      <c r="N15" s="13" t="s">
        <v>485</v>
      </c>
      <c r="O15" s="13" t="s">
        <v>225</v>
      </c>
      <c r="P15" s="13" t="s">
        <v>225</v>
      </c>
      <c r="Q15" s="13"/>
      <c r="R15" s="13" t="s">
        <v>2269</v>
      </c>
      <c r="S15" s="13" t="s">
        <v>225</v>
      </c>
      <c r="T15" s="13" t="s">
        <v>225</v>
      </c>
      <c r="U15" s="13" t="s">
        <v>3023</v>
      </c>
      <c r="V15" s="13" t="s">
        <v>2269</v>
      </c>
      <c r="W15" s="13" t="s">
        <v>1135</v>
      </c>
      <c r="X15" s="13" t="s">
        <v>3024</v>
      </c>
      <c r="Y15" s="13" t="s">
        <v>2286</v>
      </c>
      <c r="Z15" s="13" t="s">
        <v>215</v>
      </c>
      <c r="AA15" s="17" t="s">
        <v>225</v>
      </c>
      <c r="AB15" s="13" t="s">
        <v>3025</v>
      </c>
      <c r="AC15" s="13" t="s">
        <v>225</v>
      </c>
      <c r="AD15" s="13" t="s">
        <v>3026</v>
      </c>
      <c r="AE15" s="13" t="s">
        <v>225</v>
      </c>
      <c r="AF15" t="s">
        <v>3006</v>
      </c>
    </row>
    <row r="16" spans="1:32" ht="36" customHeight="1" x14ac:dyDescent="0.25">
      <c r="A16" s="14" t="s">
        <v>3027</v>
      </c>
      <c r="B16" s="13" t="s">
        <v>228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3028</v>
      </c>
      <c r="AB16" s="13"/>
      <c r="AC16" s="13"/>
      <c r="AD16" s="13"/>
      <c r="AE16" s="13"/>
      <c r="AF16" t="s">
        <v>3029</v>
      </c>
    </row>
  </sheetData>
  <mergeCells count="1">
    <mergeCell ref="A1:A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25"/>
  <sheetViews>
    <sheetView workbookViewId="0">
      <pane xSplit="2" ySplit="2" topLeftCell="X10" activePane="bottomRight" state="frozen"/>
      <selection pane="topRight" activeCell="C1" sqref="C1"/>
      <selection pane="bottomLeft" activeCell="A3" sqref="A3"/>
      <selection pane="bottomRight" activeCell="AA27" sqref="AA27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Directory'!A1","Interop &amp; Portability Details"),"Interop &amp; Portability Details")</f>
        <v>Interop &amp; Portability Details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3030</v>
      </c>
      <c r="B3" s="13" t="s">
        <v>228</v>
      </c>
      <c r="C3" s="13" t="s">
        <v>1983</v>
      </c>
      <c r="D3" s="13" t="s">
        <v>3010</v>
      </c>
      <c r="E3" s="13" t="s">
        <v>343</v>
      </c>
      <c r="F3" s="13" t="s">
        <v>215</v>
      </c>
      <c r="G3" s="13" t="s">
        <v>3031</v>
      </c>
      <c r="H3" s="13" t="s">
        <v>3032</v>
      </c>
      <c r="I3" s="13" t="s">
        <v>225</v>
      </c>
      <c r="J3" s="13" t="s">
        <v>225</v>
      </c>
      <c r="K3" s="13" t="s">
        <v>225</v>
      </c>
      <c r="L3" s="13" t="s">
        <v>225</v>
      </c>
      <c r="M3" s="13" t="s">
        <v>1983</v>
      </c>
      <c r="N3" s="13" t="s">
        <v>215</v>
      </c>
      <c r="O3" s="13" t="s">
        <v>225</v>
      </c>
      <c r="P3" s="13" t="s">
        <v>3033</v>
      </c>
      <c r="Q3" s="13" t="s">
        <v>215</v>
      </c>
      <c r="R3" s="13" t="s">
        <v>225</v>
      </c>
      <c r="S3" s="13"/>
      <c r="T3" s="13" t="s">
        <v>225</v>
      </c>
      <c r="U3" s="13" t="s">
        <v>225</v>
      </c>
      <c r="V3" s="13" t="s">
        <v>225</v>
      </c>
      <c r="W3" s="13" t="s">
        <v>3034</v>
      </c>
      <c r="X3" s="13" t="s">
        <v>353</v>
      </c>
      <c r="Y3" s="13" t="s">
        <v>225</v>
      </c>
      <c r="Z3" s="13" t="s">
        <v>225</v>
      </c>
      <c r="AA3" s="17" t="s">
        <v>3035</v>
      </c>
      <c r="AB3" s="13" t="s">
        <v>3036</v>
      </c>
      <c r="AC3" s="13" t="s">
        <v>225</v>
      </c>
      <c r="AD3" s="13" t="s">
        <v>215</v>
      </c>
      <c r="AE3" s="13" t="s">
        <v>225</v>
      </c>
      <c r="AF3" t="s">
        <v>2921</v>
      </c>
    </row>
    <row r="4" spans="1:32" ht="36" customHeight="1" x14ac:dyDescent="0.25">
      <c r="A4" s="14" t="s">
        <v>3037</v>
      </c>
      <c r="B4" s="13" t="s">
        <v>228</v>
      </c>
      <c r="C4" s="13" t="s">
        <v>1983</v>
      </c>
      <c r="D4" s="13" t="s">
        <v>3010</v>
      </c>
      <c r="E4" s="13" t="s">
        <v>343</v>
      </c>
      <c r="F4" s="13" t="s">
        <v>215</v>
      </c>
      <c r="G4" s="13" t="s">
        <v>3011</v>
      </c>
      <c r="H4" s="13" t="s">
        <v>3012</v>
      </c>
      <c r="I4" s="13" t="s">
        <v>225</v>
      </c>
      <c r="J4" s="13" t="s">
        <v>225</v>
      </c>
      <c r="K4" s="13" t="s">
        <v>225</v>
      </c>
      <c r="L4" s="13" t="s">
        <v>225</v>
      </c>
      <c r="M4" s="13" t="s">
        <v>1983</v>
      </c>
      <c r="N4" s="13" t="s">
        <v>215</v>
      </c>
      <c r="O4" s="13" t="s">
        <v>225</v>
      </c>
      <c r="P4" s="13"/>
      <c r="Q4" s="13" t="s">
        <v>215</v>
      </c>
      <c r="R4" s="13" t="s">
        <v>225</v>
      </c>
      <c r="S4" s="13"/>
      <c r="T4" s="13" t="s">
        <v>225</v>
      </c>
      <c r="U4" s="13" t="s">
        <v>225</v>
      </c>
      <c r="V4" s="13" t="s">
        <v>225</v>
      </c>
      <c r="W4" s="13"/>
      <c r="X4" s="13"/>
      <c r="Y4" s="13" t="s">
        <v>225</v>
      </c>
      <c r="Z4" s="13" t="s">
        <v>225</v>
      </c>
      <c r="AA4" s="17" t="s">
        <v>3038</v>
      </c>
      <c r="AB4" s="13" t="s">
        <v>215</v>
      </c>
      <c r="AC4" s="13" t="s">
        <v>225</v>
      </c>
      <c r="AD4" s="13"/>
      <c r="AE4" s="13" t="s">
        <v>225</v>
      </c>
      <c r="AF4" t="s">
        <v>2921</v>
      </c>
    </row>
    <row r="5" spans="1:32" ht="36" customHeight="1" x14ac:dyDescent="0.25">
      <c r="A5" s="14" t="s">
        <v>3039</v>
      </c>
      <c r="B5" s="13" t="s">
        <v>228</v>
      </c>
      <c r="C5" s="13" t="s">
        <v>1983</v>
      </c>
      <c r="D5" s="13" t="s">
        <v>3010</v>
      </c>
      <c r="E5" s="13" t="s">
        <v>343</v>
      </c>
      <c r="F5" s="13" t="s">
        <v>215</v>
      </c>
      <c r="G5" s="13" t="s">
        <v>3011</v>
      </c>
      <c r="H5" s="13" t="s">
        <v>3012</v>
      </c>
      <c r="I5" s="13" t="s">
        <v>225</v>
      </c>
      <c r="J5" s="13" t="s">
        <v>225</v>
      </c>
      <c r="K5" s="13" t="s">
        <v>225</v>
      </c>
      <c r="L5" s="13" t="s">
        <v>225</v>
      </c>
      <c r="M5" s="13" t="s">
        <v>1983</v>
      </c>
      <c r="N5" s="13" t="s">
        <v>215</v>
      </c>
      <c r="O5" s="13" t="s">
        <v>225</v>
      </c>
      <c r="P5" s="13"/>
      <c r="Q5" s="13" t="s">
        <v>215</v>
      </c>
      <c r="R5" s="13" t="s">
        <v>225</v>
      </c>
      <c r="S5" s="13"/>
      <c r="T5" s="13" t="s">
        <v>225</v>
      </c>
      <c r="U5" s="13" t="s">
        <v>225</v>
      </c>
      <c r="V5" s="13" t="s">
        <v>225</v>
      </c>
      <c r="W5" s="13"/>
      <c r="X5" s="13"/>
      <c r="Y5" s="13" t="s">
        <v>225</v>
      </c>
      <c r="Z5" s="13" t="s">
        <v>225</v>
      </c>
      <c r="AA5" s="17" t="s">
        <v>3040</v>
      </c>
      <c r="AB5" s="13" t="s">
        <v>3041</v>
      </c>
      <c r="AC5" s="13" t="s">
        <v>225</v>
      </c>
      <c r="AD5" s="13"/>
      <c r="AE5" s="13" t="s">
        <v>225</v>
      </c>
      <c r="AF5" t="s">
        <v>2921</v>
      </c>
    </row>
    <row r="6" spans="1:32" ht="36" customHeight="1" x14ac:dyDescent="0.25">
      <c r="A6" s="14" t="s">
        <v>3009</v>
      </c>
      <c r="B6" s="13" t="s">
        <v>228</v>
      </c>
      <c r="C6" s="13" t="s">
        <v>1983</v>
      </c>
      <c r="D6" s="13" t="s">
        <v>3010</v>
      </c>
      <c r="E6" s="13" t="s">
        <v>343</v>
      </c>
      <c r="F6" s="13" t="s">
        <v>215</v>
      </c>
      <c r="G6" s="13" t="s">
        <v>3011</v>
      </c>
      <c r="H6" s="13" t="s">
        <v>3012</v>
      </c>
      <c r="I6" s="13" t="s">
        <v>225</v>
      </c>
      <c r="J6" s="13" t="s">
        <v>225</v>
      </c>
      <c r="K6" s="13" t="s">
        <v>225</v>
      </c>
      <c r="L6" s="13" t="s">
        <v>225</v>
      </c>
      <c r="M6" s="13" t="s">
        <v>1983</v>
      </c>
      <c r="N6" s="13" t="s">
        <v>215</v>
      </c>
      <c r="O6" s="13" t="s">
        <v>225</v>
      </c>
      <c r="P6" s="13"/>
      <c r="Q6" s="13" t="s">
        <v>215</v>
      </c>
      <c r="R6" s="13" t="s">
        <v>225</v>
      </c>
      <c r="S6" s="13"/>
      <c r="T6" s="13" t="s">
        <v>225</v>
      </c>
      <c r="U6" s="13" t="s">
        <v>225</v>
      </c>
      <c r="V6" s="13" t="s">
        <v>225</v>
      </c>
      <c r="W6" s="13"/>
      <c r="X6" s="13"/>
      <c r="Y6" s="13" t="s">
        <v>225</v>
      </c>
      <c r="Z6" s="13" t="s">
        <v>225</v>
      </c>
      <c r="AA6" s="17" t="s">
        <v>3042</v>
      </c>
      <c r="AB6" s="13" t="s">
        <v>3013</v>
      </c>
      <c r="AC6" s="13" t="s">
        <v>225</v>
      </c>
      <c r="AD6" s="13"/>
      <c r="AE6" s="13" t="s">
        <v>225</v>
      </c>
      <c r="AF6" t="s">
        <v>2921</v>
      </c>
    </row>
    <row r="7" spans="1:32" ht="36" customHeight="1" x14ac:dyDescent="0.25">
      <c r="A7" s="14" t="s">
        <v>3014</v>
      </c>
      <c r="B7" s="13" t="s">
        <v>228</v>
      </c>
      <c r="C7" s="13" t="s">
        <v>1983</v>
      </c>
      <c r="D7" s="13"/>
      <c r="E7" s="13" t="s">
        <v>225</v>
      </c>
      <c r="F7" s="13" t="s">
        <v>225</v>
      </c>
      <c r="G7" s="13" t="s">
        <v>3011</v>
      </c>
      <c r="H7" s="13" t="s">
        <v>3012</v>
      </c>
      <c r="I7" s="13" t="s">
        <v>225</v>
      </c>
      <c r="J7" s="13" t="s">
        <v>225</v>
      </c>
      <c r="K7" s="13" t="s">
        <v>225</v>
      </c>
      <c r="L7" s="13" t="s">
        <v>225</v>
      </c>
      <c r="M7" s="13" t="s">
        <v>225</v>
      </c>
      <c r="N7" s="13" t="s">
        <v>215</v>
      </c>
      <c r="O7" s="13" t="s">
        <v>225</v>
      </c>
      <c r="P7" s="13"/>
      <c r="Q7" s="13" t="s">
        <v>215</v>
      </c>
      <c r="R7" s="13" t="s">
        <v>225</v>
      </c>
      <c r="S7" s="13"/>
      <c r="T7" s="13" t="s">
        <v>225</v>
      </c>
      <c r="U7" s="13" t="s">
        <v>225</v>
      </c>
      <c r="V7" s="13" t="s">
        <v>225</v>
      </c>
      <c r="W7" s="13"/>
      <c r="X7" s="13"/>
      <c r="Y7" s="13" t="s">
        <v>225</v>
      </c>
      <c r="Z7" s="13" t="s">
        <v>225</v>
      </c>
      <c r="AA7" s="17" t="s">
        <v>3043</v>
      </c>
      <c r="AB7" s="13"/>
      <c r="AC7" s="13" t="s">
        <v>225</v>
      </c>
      <c r="AD7" s="13"/>
      <c r="AE7" s="13" t="s">
        <v>225</v>
      </c>
      <c r="AF7" t="s">
        <v>2921</v>
      </c>
    </row>
    <row r="8" spans="1:32" ht="36" customHeight="1" x14ac:dyDescent="0.25">
      <c r="A8" s="14" t="s">
        <v>3015</v>
      </c>
      <c r="B8" s="13" t="s">
        <v>228</v>
      </c>
      <c r="C8" s="13" t="s">
        <v>225</v>
      </c>
      <c r="D8" s="13" t="s">
        <v>225</v>
      </c>
      <c r="E8" s="13" t="s">
        <v>225</v>
      </c>
      <c r="F8" s="13" t="s">
        <v>225</v>
      </c>
      <c r="G8" s="13" t="s">
        <v>3016</v>
      </c>
      <c r="H8" s="13" t="s">
        <v>225</v>
      </c>
      <c r="I8" s="13" t="s">
        <v>225</v>
      </c>
      <c r="J8" s="13" t="s">
        <v>225</v>
      </c>
      <c r="K8" s="13" t="s">
        <v>225</v>
      </c>
      <c r="L8" s="13" t="s">
        <v>225</v>
      </c>
      <c r="M8" s="13" t="s">
        <v>225</v>
      </c>
      <c r="N8" s="13" t="s">
        <v>225</v>
      </c>
      <c r="O8" s="13" t="s">
        <v>225</v>
      </c>
      <c r="P8" s="13" t="s">
        <v>225</v>
      </c>
      <c r="Q8" s="13" t="s">
        <v>225</v>
      </c>
      <c r="R8" s="13" t="s">
        <v>225</v>
      </c>
      <c r="S8" s="13"/>
      <c r="T8" s="13" t="s">
        <v>225</v>
      </c>
      <c r="U8" s="13" t="s">
        <v>225</v>
      </c>
      <c r="V8" s="13" t="s">
        <v>225</v>
      </c>
      <c r="W8" s="13"/>
      <c r="X8" s="13"/>
      <c r="Y8" s="13" t="s">
        <v>225</v>
      </c>
      <c r="Z8" s="13" t="s">
        <v>225</v>
      </c>
      <c r="AA8" s="17" t="s">
        <v>225</v>
      </c>
      <c r="AB8" s="13" t="s">
        <v>225</v>
      </c>
      <c r="AC8" s="13" t="s">
        <v>225</v>
      </c>
      <c r="AD8" s="13"/>
      <c r="AE8" s="13" t="s">
        <v>225</v>
      </c>
      <c r="AF8" t="s">
        <v>2921</v>
      </c>
    </row>
    <row r="9" spans="1:32" ht="36" customHeight="1" x14ac:dyDescent="0.25">
      <c r="A9" s="14" t="s">
        <v>3017</v>
      </c>
      <c r="B9" s="13" t="s">
        <v>228</v>
      </c>
      <c r="C9" s="13" t="s">
        <v>225</v>
      </c>
      <c r="D9" s="13" t="s">
        <v>225</v>
      </c>
      <c r="E9" s="13" t="s">
        <v>225</v>
      </c>
      <c r="F9" s="13" t="s">
        <v>225</v>
      </c>
      <c r="G9" s="13" t="s">
        <v>3018</v>
      </c>
      <c r="H9" s="13" t="s">
        <v>225</v>
      </c>
      <c r="I9" s="13" t="s">
        <v>225</v>
      </c>
      <c r="J9" s="13" t="s">
        <v>225</v>
      </c>
      <c r="K9" s="13" t="s">
        <v>225</v>
      </c>
      <c r="L9" s="13" t="s">
        <v>225</v>
      </c>
      <c r="M9" s="13" t="s">
        <v>225</v>
      </c>
      <c r="N9" s="13" t="s">
        <v>225</v>
      </c>
      <c r="O9" s="13" t="s">
        <v>225</v>
      </c>
      <c r="P9" s="13" t="s">
        <v>225</v>
      </c>
      <c r="Q9" s="13" t="s">
        <v>225</v>
      </c>
      <c r="R9" s="13" t="s">
        <v>225</v>
      </c>
      <c r="S9" s="13"/>
      <c r="T9" s="13" t="s">
        <v>225</v>
      </c>
      <c r="U9" s="13" t="s">
        <v>225</v>
      </c>
      <c r="V9" s="13" t="s">
        <v>225</v>
      </c>
      <c r="W9" s="13"/>
      <c r="X9" s="13"/>
      <c r="Y9" s="13" t="s">
        <v>225</v>
      </c>
      <c r="Z9" s="13" t="s">
        <v>225</v>
      </c>
      <c r="AA9" s="17" t="s">
        <v>225</v>
      </c>
      <c r="AB9" s="13" t="s">
        <v>225</v>
      </c>
      <c r="AC9" s="13" t="s">
        <v>225</v>
      </c>
      <c r="AD9" s="13"/>
      <c r="AE9" s="13" t="s">
        <v>225</v>
      </c>
      <c r="AF9" t="s">
        <v>2921</v>
      </c>
    </row>
    <row r="10" spans="1:32" ht="36" customHeight="1" x14ac:dyDescent="0.25">
      <c r="A10" s="14" t="s">
        <v>3044</v>
      </c>
      <c r="B10" s="13" t="s">
        <v>215</v>
      </c>
      <c r="C10" s="13"/>
      <c r="D10" s="13"/>
      <c r="E10" s="13" t="s">
        <v>215</v>
      </c>
      <c r="F10" s="13"/>
      <c r="G10" s="13" t="s">
        <v>3045</v>
      </c>
      <c r="H10" s="13"/>
      <c r="I10" s="13" t="s">
        <v>3046</v>
      </c>
      <c r="J10" s="13"/>
      <c r="K10" s="13" t="s">
        <v>215</v>
      </c>
      <c r="L10" s="13" t="s">
        <v>3047</v>
      </c>
      <c r="M10" s="13" t="s">
        <v>3048</v>
      </c>
      <c r="N10" s="13"/>
      <c r="O10" s="13"/>
      <c r="P10" s="13"/>
      <c r="Q10" s="13" t="s">
        <v>3049</v>
      </c>
      <c r="R10" s="13"/>
      <c r="S10" s="13"/>
      <c r="T10" s="13"/>
      <c r="U10" s="13" t="s">
        <v>3050</v>
      </c>
      <c r="V10" s="13" t="s">
        <v>3051</v>
      </c>
      <c r="W10" s="13" t="s">
        <v>3052</v>
      </c>
      <c r="X10" s="13" t="s">
        <v>3053</v>
      </c>
      <c r="Y10" s="13" t="s">
        <v>3054</v>
      </c>
      <c r="Z10" s="13" t="s">
        <v>3055</v>
      </c>
      <c r="AA10" s="17" t="s">
        <v>5851</v>
      </c>
      <c r="AB10" s="13" t="s">
        <v>215</v>
      </c>
      <c r="AC10" s="13"/>
      <c r="AD10" s="13"/>
      <c r="AE10" s="13"/>
      <c r="AF10" t="s">
        <v>2932</v>
      </c>
    </row>
    <row r="11" spans="1:32" ht="36" customHeight="1" x14ac:dyDescent="0.25">
      <c r="A11" s="14" t="s">
        <v>3056</v>
      </c>
      <c r="B11" s="13" t="s">
        <v>2125</v>
      </c>
      <c r="C11" s="13"/>
      <c r="D11" s="13"/>
      <c r="E11" s="13"/>
      <c r="F11" s="13"/>
      <c r="G11" s="13" t="s">
        <v>1883</v>
      </c>
      <c r="H11" s="13"/>
      <c r="I11" s="13" t="s">
        <v>228</v>
      </c>
      <c r="J11" s="13"/>
      <c r="K11" s="13" t="s">
        <v>2126</v>
      </c>
      <c r="L11" s="13" t="s">
        <v>2127</v>
      </c>
      <c r="M11" s="13" t="s">
        <v>2128</v>
      </c>
      <c r="N11" s="13"/>
      <c r="O11" s="13"/>
      <c r="P11" s="13"/>
      <c r="Q11" s="13"/>
      <c r="R11" s="13"/>
      <c r="S11" s="13"/>
      <c r="T11" s="13"/>
      <c r="U11" s="13"/>
      <c r="V11" s="13"/>
      <c r="W11" s="13" t="s">
        <v>2129</v>
      </c>
      <c r="X11" s="13" t="s">
        <v>2130</v>
      </c>
      <c r="Y11" s="13" t="s">
        <v>2131</v>
      </c>
      <c r="Z11" s="13" t="s">
        <v>2132</v>
      </c>
      <c r="AA11" s="17" t="s">
        <v>5852</v>
      </c>
      <c r="AB11" s="13"/>
      <c r="AC11" s="13"/>
      <c r="AD11" s="13"/>
      <c r="AE11" s="13"/>
      <c r="AF11" t="s">
        <v>2932</v>
      </c>
    </row>
    <row r="12" spans="1:32" ht="36" customHeight="1" x14ac:dyDescent="0.25">
      <c r="A12" s="14" t="s">
        <v>3057</v>
      </c>
      <c r="B12" s="13" t="s">
        <v>3058</v>
      </c>
      <c r="C12" s="13"/>
      <c r="D12" s="13"/>
      <c r="E12" s="13"/>
      <c r="F12" s="13"/>
      <c r="G12" s="13" t="s">
        <v>1883</v>
      </c>
      <c r="H12" s="13"/>
      <c r="I12" s="13" t="s">
        <v>228</v>
      </c>
      <c r="J12" s="13"/>
      <c r="K12" s="13" t="s">
        <v>3059</v>
      </c>
      <c r="L12" s="13" t="s">
        <v>3060</v>
      </c>
      <c r="M12" s="13" t="s">
        <v>3061</v>
      </c>
      <c r="N12" s="13"/>
      <c r="O12" s="13"/>
      <c r="P12" s="13"/>
      <c r="Q12" s="13" t="s">
        <v>3049</v>
      </c>
      <c r="R12" s="13"/>
      <c r="S12" s="13"/>
      <c r="T12" s="13"/>
      <c r="U12" s="13" t="s">
        <v>3050</v>
      </c>
      <c r="V12" s="13"/>
      <c r="W12" s="13"/>
      <c r="X12" s="13" t="s">
        <v>3062</v>
      </c>
      <c r="Y12" s="13" t="s">
        <v>3063</v>
      </c>
      <c r="Z12" s="13"/>
      <c r="AA12" s="17" t="s">
        <v>5853</v>
      </c>
      <c r="AB12" s="13" t="s">
        <v>215</v>
      </c>
      <c r="AC12" s="13"/>
      <c r="AD12" s="13"/>
      <c r="AE12" s="13"/>
      <c r="AF12" t="s">
        <v>2943</v>
      </c>
    </row>
    <row r="13" spans="1:32" ht="36" customHeight="1" x14ac:dyDescent="0.25">
      <c r="A13" s="14" t="s">
        <v>3064</v>
      </c>
      <c r="B13" s="13" t="s">
        <v>3065</v>
      </c>
      <c r="C13" s="13" t="s">
        <v>3066</v>
      </c>
      <c r="D13" s="13" t="s">
        <v>3067</v>
      </c>
      <c r="E13" s="13" t="s">
        <v>3068</v>
      </c>
      <c r="F13" s="13" t="s">
        <v>3069</v>
      </c>
      <c r="G13" s="13" t="s">
        <v>3070</v>
      </c>
      <c r="H13" s="13" t="s">
        <v>3071</v>
      </c>
      <c r="I13" s="13" t="s">
        <v>225</v>
      </c>
      <c r="J13" s="13" t="s">
        <v>3065</v>
      </c>
      <c r="K13" s="13" t="s">
        <v>3072</v>
      </c>
      <c r="L13" s="13" t="s">
        <v>3073</v>
      </c>
      <c r="M13" s="13" t="s">
        <v>3074</v>
      </c>
      <c r="N13" s="13" t="s">
        <v>3065</v>
      </c>
      <c r="O13" s="13" t="s">
        <v>225</v>
      </c>
      <c r="P13" s="13" t="s">
        <v>3065</v>
      </c>
      <c r="Q13" s="13" t="s">
        <v>3075</v>
      </c>
      <c r="R13" s="13" t="s">
        <v>3076</v>
      </c>
      <c r="S13" s="13" t="s">
        <v>3077</v>
      </c>
      <c r="T13" s="13" t="s">
        <v>225</v>
      </c>
      <c r="U13" s="13" t="s">
        <v>225</v>
      </c>
      <c r="V13" s="13" t="s">
        <v>3078</v>
      </c>
      <c r="W13" s="13" t="s">
        <v>3079</v>
      </c>
      <c r="X13" s="13" t="s">
        <v>3080</v>
      </c>
      <c r="Y13" s="13" t="s">
        <v>3065</v>
      </c>
      <c r="Z13" s="13" t="s">
        <v>3081</v>
      </c>
      <c r="AA13" s="17" t="s">
        <v>3065</v>
      </c>
      <c r="AB13" s="13" t="s">
        <v>3082</v>
      </c>
      <c r="AC13" s="13" t="s">
        <v>225</v>
      </c>
      <c r="AD13" s="13" t="s">
        <v>3083</v>
      </c>
      <c r="AE13" s="13" t="s">
        <v>3084</v>
      </c>
      <c r="AF13" t="s">
        <v>3085</v>
      </c>
    </row>
    <row r="14" spans="1:32" ht="36" customHeight="1" x14ac:dyDescent="0.25">
      <c r="A14" s="14" t="s">
        <v>3086</v>
      </c>
      <c r="B14" s="13" t="s">
        <v>228</v>
      </c>
      <c r="C14" s="13" t="s">
        <v>1236</v>
      </c>
      <c r="D14" s="13" t="s">
        <v>225</v>
      </c>
      <c r="E14" s="13" t="s">
        <v>1236</v>
      </c>
      <c r="F14" s="13" t="s">
        <v>3087</v>
      </c>
      <c r="G14" s="13" t="s">
        <v>3088</v>
      </c>
      <c r="H14" s="13" t="s">
        <v>3089</v>
      </c>
      <c r="I14" s="13" t="s">
        <v>225</v>
      </c>
      <c r="J14" s="13" t="s">
        <v>225</v>
      </c>
      <c r="K14" s="13" t="s">
        <v>1236</v>
      </c>
      <c r="L14" s="13" t="s">
        <v>225</v>
      </c>
      <c r="M14" s="13" t="s">
        <v>1236</v>
      </c>
      <c r="N14" s="13" t="s">
        <v>3090</v>
      </c>
      <c r="O14" s="13" t="s">
        <v>225</v>
      </c>
      <c r="P14" s="13" t="s">
        <v>225</v>
      </c>
      <c r="Q14" s="13" t="s">
        <v>3087</v>
      </c>
      <c r="R14" s="13" t="s">
        <v>225</v>
      </c>
      <c r="S14" s="13" t="s">
        <v>225</v>
      </c>
      <c r="T14" s="13" t="s">
        <v>225</v>
      </c>
      <c r="U14" s="13" t="s">
        <v>225</v>
      </c>
      <c r="V14" s="13" t="s">
        <v>3091</v>
      </c>
      <c r="W14" s="13" t="s">
        <v>3092</v>
      </c>
      <c r="X14" s="13" t="s">
        <v>3093</v>
      </c>
      <c r="Y14" s="13" t="s">
        <v>225</v>
      </c>
      <c r="Z14" s="13" t="s">
        <v>2958</v>
      </c>
      <c r="AA14" s="17" t="s">
        <v>225</v>
      </c>
      <c r="AB14" s="13" t="s">
        <v>3087</v>
      </c>
      <c r="AC14" s="13" t="s">
        <v>225</v>
      </c>
      <c r="AD14" s="13" t="s">
        <v>3087</v>
      </c>
      <c r="AE14" s="13" t="s">
        <v>225</v>
      </c>
      <c r="AF14" t="s">
        <v>3094</v>
      </c>
    </row>
    <row r="15" spans="1:32" ht="36" customHeight="1" x14ac:dyDescent="0.25">
      <c r="A15" s="14" t="s">
        <v>3095</v>
      </c>
      <c r="B15" s="13" t="s">
        <v>3096</v>
      </c>
      <c r="C15" s="13" t="s">
        <v>1236</v>
      </c>
      <c r="D15" s="13" t="s">
        <v>225</v>
      </c>
      <c r="E15" s="13" t="s">
        <v>1236</v>
      </c>
      <c r="F15" s="13" t="s">
        <v>225</v>
      </c>
      <c r="G15" s="13" t="s">
        <v>228</v>
      </c>
      <c r="H15" s="13" t="s">
        <v>1236</v>
      </c>
      <c r="I15" s="13" t="s">
        <v>225</v>
      </c>
      <c r="J15" s="13" t="s">
        <v>225</v>
      </c>
      <c r="K15" s="13" t="s">
        <v>1236</v>
      </c>
      <c r="L15" s="13" t="s">
        <v>3097</v>
      </c>
      <c r="M15" s="13" t="s">
        <v>3098</v>
      </c>
      <c r="N15" s="13" t="s">
        <v>225</v>
      </c>
      <c r="O15" s="13" t="s">
        <v>225</v>
      </c>
      <c r="P15" s="13" t="s">
        <v>225</v>
      </c>
      <c r="Q15" s="13" t="s">
        <v>225</v>
      </c>
      <c r="R15" s="13" t="s">
        <v>3099</v>
      </c>
      <c r="S15" s="13" t="s">
        <v>225</v>
      </c>
      <c r="T15" s="13" t="s">
        <v>225</v>
      </c>
      <c r="U15" s="13" t="s">
        <v>225</v>
      </c>
      <c r="V15" s="13" t="s">
        <v>225</v>
      </c>
      <c r="W15" s="13" t="s">
        <v>228</v>
      </c>
      <c r="X15" s="13" t="s">
        <v>2963</v>
      </c>
      <c r="Y15" s="13" t="s">
        <v>225</v>
      </c>
      <c r="Z15" s="13" t="s">
        <v>225</v>
      </c>
      <c r="AA15" s="17" t="s">
        <v>225</v>
      </c>
      <c r="AB15" s="13" t="s">
        <v>225</v>
      </c>
      <c r="AC15" s="13" t="s">
        <v>225</v>
      </c>
      <c r="AD15" s="13" t="s">
        <v>225</v>
      </c>
      <c r="AE15" s="13" t="s">
        <v>225</v>
      </c>
      <c r="AF15" t="s">
        <v>2970</v>
      </c>
    </row>
    <row r="16" spans="1:32" ht="36" customHeight="1" x14ac:dyDescent="0.25">
      <c r="A16" s="14" t="s">
        <v>3100</v>
      </c>
      <c r="B16" s="13" t="s">
        <v>3101</v>
      </c>
      <c r="C16" s="13" t="s">
        <v>1236</v>
      </c>
      <c r="D16" s="13" t="s">
        <v>225</v>
      </c>
      <c r="E16" s="13" t="s">
        <v>1236</v>
      </c>
      <c r="F16" s="13" t="s">
        <v>225</v>
      </c>
      <c r="G16" s="13" t="s">
        <v>3102</v>
      </c>
      <c r="H16" s="13" t="s">
        <v>1236</v>
      </c>
      <c r="I16" s="13" t="s">
        <v>225</v>
      </c>
      <c r="J16" s="13" t="s">
        <v>225</v>
      </c>
      <c r="K16" s="13" t="s">
        <v>3103</v>
      </c>
      <c r="L16" s="13" t="s">
        <v>3097</v>
      </c>
      <c r="M16" s="13" t="s">
        <v>3104</v>
      </c>
      <c r="N16" s="13" t="s">
        <v>225</v>
      </c>
      <c r="O16" s="13" t="s">
        <v>225</v>
      </c>
      <c r="P16" s="13" t="s">
        <v>225</v>
      </c>
      <c r="Q16" s="13" t="s">
        <v>225</v>
      </c>
      <c r="R16" s="13"/>
      <c r="S16" s="13" t="s">
        <v>225</v>
      </c>
      <c r="T16" s="13" t="s">
        <v>225</v>
      </c>
      <c r="U16" s="13" t="s">
        <v>225</v>
      </c>
      <c r="V16" s="13" t="s">
        <v>225</v>
      </c>
      <c r="W16" s="13"/>
      <c r="X16" s="13" t="s">
        <v>3105</v>
      </c>
      <c r="Y16" s="13" t="s">
        <v>225</v>
      </c>
      <c r="Z16" s="13" t="s">
        <v>225</v>
      </c>
      <c r="AA16" s="17" t="s">
        <v>225</v>
      </c>
      <c r="AB16" s="13" t="s">
        <v>225</v>
      </c>
      <c r="AC16" s="13" t="s">
        <v>225</v>
      </c>
      <c r="AD16" s="13" t="s">
        <v>225</v>
      </c>
      <c r="AE16" s="13" t="s">
        <v>225</v>
      </c>
      <c r="AF16" t="s">
        <v>2981</v>
      </c>
    </row>
    <row r="17" spans="1:32" ht="36" customHeight="1" x14ac:dyDescent="0.25">
      <c r="A17" s="14" t="s">
        <v>3106</v>
      </c>
      <c r="B17" s="13" t="s">
        <v>225</v>
      </c>
      <c r="C17" s="13" t="s">
        <v>512</v>
      </c>
      <c r="D17" s="13" t="s">
        <v>225</v>
      </c>
      <c r="E17" s="13" t="s">
        <v>2265</v>
      </c>
      <c r="F17" s="13" t="s">
        <v>225</v>
      </c>
      <c r="G17" s="13" t="s">
        <v>3107</v>
      </c>
      <c r="H17" s="13" t="s">
        <v>225</v>
      </c>
      <c r="I17" s="13" t="s">
        <v>225</v>
      </c>
      <c r="J17" s="13" t="s">
        <v>225</v>
      </c>
      <c r="K17" s="13" t="s">
        <v>225</v>
      </c>
      <c r="L17" s="13" t="s">
        <v>225</v>
      </c>
      <c r="M17" s="13" t="s">
        <v>3108</v>
      </c>
      <c r="N17" s="13" t="s">
        <v>225</v>
      </c>
      <c r="O17" s="13" t="s">
        <v>225</v>
      </c>
      <c r="P17" s="13" t="s">
        <v>225</v>
      </c>
      <c r="Q17" s="13" t="s">
        <v>3109</v>
      </c>
      <c r="R17" s="13" t="s">
        <v>3110</v>
      </c>
      <c r="S17" s="13" t="s">
        <v>504</v>
      </c>
      <c r="T17" s="13" t="s">
        <v>225</v>
      </c>
      <c r="U17" s="13" t="s">
        <v>512</v>
      </c>
      <c r="V17" s="13" t="s">
        <v>507</v>
      </c>
      <c r="W17" s="13" t="s">
        <v>3111</v>
      </c>
      <c r="X17" s="13" t="s">
        <v>3112</v>
      </c>
      <c r="Y17" s="13" t="s">
        <v>3113</v>
      </c>
      <c r="Z17" s="13" t="s">
        <v>3114</v>
      </c>
      <c r="AA17" s="17" t="s">
        <v>225</v>
      </c>
      <c r="AB17" s="13" t="s">
        <v>225</v>
      </c>
      <c r="AC17" s="13" t="s">
        <v>225</v>
      </c>
      <c r="AD17" s="13" t="s">
        <v>3115</v>
      </c>
      <c r="AE17" s="13" t="s">
        <v>225</v>
      </c>
      <c r="AF17" t="s">
        <v>3116</v>
      </c>
    </row>
    <row r="18" spans="1:32" ht="36" customHeight="1" x14ac:dyDescent="0.25">
      <c r="A18" s="14" t="s">
        <v>3019</v>
      </c>
      <c r="B18" s="13" t="s">
        <v>225</v>
      </c>
      <c r="C18" s="13" t="s">
        <v>225</v>
      </c>
      <c r="D18" s="13" t="s">
        <v>225</v>
      </c>
      <c r="E18" s="13" t="s">
        <v>225</v>
      </c>
      <c r="F18" s="13" t="s">
        <v>225</v>
      </c>
      <c r="G18" s="13" t="s">
        <v>3020</v>
      </c>
      <c r="H18" s="13" t="s">
        <v>225</v>
      </c>
      <c r="I18" s="13" t="s">
        <v>3021</v>
      </c>
      <c r="J18" s="13" t="s">
        <v>485</v>
      </c>
      <c r="K18" s="13" t="s">
        <v>3022</v>
      </c>
      <c r="L18" s="13" t="s">
        <v>225</v>
      </c>
      <c r="M18" s="13" t="s">
        <v>485</v>
      </c>
      <c r="N18" s="13" t="s">
        <v>485</v>
      </c>
      <c r="O18" s="13" t="s">
        <v>225</v>
      </c>
      <c r="P18" s="13" t="s">
        <v>225</v>
      </c>
      <c r="Q18" s="13"/>
      <c r="R18" s="13" t="s">
        <v>2269</v>
      </c>
      <c r="S18" s="13" t="s">
        <v>225</v>
      </c>
      <c r="T18" s="13" t="s">
        <v>225</v>
      </c>
      <c r="U18" s="13" t="s">
        <v>3023</v>
      </c>
      <c r="V18" s="13" t="s">
        <v>2269</v>
      </c>
      <c r="W18" s="13" t="s">
        <v>1135</v>
      </c>
      <c r="X18" s="13" t="s">
        <v>3024</v>
      </c>
      <c r="Y18" s="13" t="s">
        <v>2286</v>
      </c>
      <c r="Z18" s="13" t="s">
        <v>215</v>
      </c>
      <c r="AA18" s="17" t="s">
        <v>225</v>
      </c>
      <c r="AB18" s="13" t="s">
        <v>3025</v>
      </c>
      <c r="AC18" s="13" t="s">
        <v>225</v>
      </c>
      <c r="AD18" s="13" t="s">
        <v>3026</v>
      </c>
      <c r="AE18" s="13" t="s">
        <v>225</v>
      </c>
      <c r="AF18" t="s">
        <v>3006</v>
      </c>
    </row>
    <row r="19" spans="1:32" ht="36" customHeight="1" x14ac:dyDescent="0.25">
      <c r="A19" s="14" t="s">
        <v>3117</v>
      </c>
      <c r="B19" s="13" t="s">
        <v>3118</v>
      </c>
      <c r="C19" s="13" t="s">
        <v>3119</v>
      </c>
      <c r="D19" s="13" t="s">
        <v>3120</v>
      </c>
      <c r="E19" s="13" t="s">
        <v>3121</v>
      </c>
      <c r="F19" s="13" t="s">
        <v>3122</v>
      </c>
      <c r="G19" s="13" t="s">
        <v>3123</v>
      </c>
      <c r="H19" s="13" t="s">
        <v>3124</v>
      </c>
      <c r="I19" s="13" t="s">
        <v>3125</v>
      </c>
      <c r="J19" s="13" t="s">
        <v>3126</v>
      </c>
      <c r="K19" s="13" t="s">
        <v>3127</v>
      </c>
      <c r="L19" s="13" t="s">
        <v>3127</v>
      </c>
      <c r="M19" s="13" t="s">
        <v>3127</v>
      </c>
      <c r="N19" s="13" t="s">
        <v>3128</v>
      </c>
      <c r="O19" s="13" t="s">
        <v>3129</v>
      </c>
      <c r="P19" s="13" t="s">
        <v>3128</v>
      </c>
      <c r="Q19" s="13"/>
      <c r="R19" s="13"/>
      <c r="S19" s="13" t="s">
        <v>3130</v>
      </c>
      <c r="T19" s="13" t="s">
        <v>225</v>
      </c>
      <c r="U19" s="13" t="s">
        <v>3131</v>
      </c>
      <c r="V19" s="13" t="s">
        <v>3132</v>
      </c>
      <c r="W19" s="13" t="s">
        <v>3133</v>
      </c>
      <c r="X19" s="13" t="s">
        <v>3134</v>
      </c>
      <c r="Y19" s="13" t="s">
        <v>3135</v>
      </c>
      <c r="Z19" s="13" t="s">
        <v>3130</v>
      </c>
      <c r="AA19" s="17" t="s">
        <v>3131</v>
      </c>
      <c r="AB19" s="13" t="s">
        <v>562</v>
      </c>
      <c r="AC19" s="13" t="s">
        <v>3128</v>
      </c>
      <c r="AD19" s="13" t="s">
        <v>3136</v>
      </c>
      <c r="AE19" s="13" t="s">
        <v>3131</v>
      </c>
      <c r="AF19" t="s">
        <v>3137</v>
      </c>
    </row>
    <row r="20" spans="1:32" ht="36" customHeight="1" x14ac:dyDescent="0.25">
      <c r="A20" s="14" t="s">
        <v>3138</v>
      </c>
      <c r="B20" s="13" t="s">
        <v>3139</v>
      </c>
      <c r="C20" s="13" t="s">
        <v>3140</v>
      </c>
      <c r="D20" s="13" t="s">
        <v>3141</v>
      </c>
      <c r="E20" s="13" t="s">
        <v>3142</v>
      </c>
      <c r="F20" s="13" t="s">
        <v>3143</v>
      </c>
      <c r="G20" s="13" t="s">
        <v>3144</v>
      </c>
      <c r="H20" s="13" t="s">
        <v>3145</v>
      </c>
      <c r="I20" s="13" t="s">
        <v>3146</v>
      </c>
      <c r="J20" s="13" t="s">
        <v>3147</v>
      </c>
      <c r="K20" s="13" t="s">
        <v>3148</v>
      </c>
      <c r="L20" s="13" t="s">
        <v>3149</v>
      </c>
      <c r="M20" s="13" t="s">
        <v>3150</v>
      </c>
      <c r="N20" s="13" t="s">
        <v>3151</v>
      </c>
      <c r="O20" s="13" t="s">
        <v>3152</v>
      </c>
      <c r="P20" s="13" t="s">
        <v>3153</v>
      </c>
      <c r="Q20" s="13" t="s">
        <v>3154</v>
      </c>
      <c r="R20" s="13" t="s">
        <v>3155</v>
      </c>
      <c r="S20" s="13" t="s">
        <v>3156</v>
      </c>
      <c r="T20" s="13" t="s">
        <v>3157</v>
      </c>
      <c r="U20" s="13" t="s">
        <v>3158</v>
      </c>
      <c r="V20" s="13" t="s">
        <v>3159</v>
      </c>
      <c r="W20" s="13" t="s">
        <v>3160</v>
      </c>
      <c r="X20" s="13" t="s">
        <v>3161</v>
      </c>
      <c r="Y20" s="13" t="s">
        <v>3162</v>
      </c>
      <c r="Z20" s="13" t="s">
        <v>3163</v>
      </c>
      <c r="AA20" s="17" t="s">
        <v>3164</v>
      </c>
      <c r="AB20" s="13" t="s">
        <v>3165</v>
      </c>
      <c r="AC20" s="13" t="s">
        <v>3166</v>
      </c>
      <c r="AD20" s="13" t="s">
        <v>3167</v>
      </c>
      <c r="AE20" s="13" t="s">
        <v>3168</v>
      </c>
      <c r="AF20" t="s">
        <v>3169</v>
      </c>
    </row>
    <row r="21" spans="1:32" ht="23.1" customHeight="1" x14ac:dyDescent="0.25">
      <c r="A21" s="15" t="s">
        <v>3170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</row>
    <row r="22" spans="1:32" ht="36" customHeight="1" x14ac:dyDescent="0.25">
      <c r="A22" s="14" t="s">
        <v>3171</v>
      </c>
      <c r="B22" s="13" t="s">
        <v>228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3172</v>
      </c>
      <c r="AB22" s="13"/>
      <c r="AC22" s="13"/>
      <c r="AD22" s="13"/>
      <c r="AE22" s="13"/>
      <c r="AF22" t="s">
        <v>2921</v>
      </c>
    </row>
    <row r="23" spans="1:32" ht="36" customHeight="1" x14ac:dyDescent="0.25">
      <c r="A23" s="14" t="s">
        <v>3173</v>
      </c>
      <c r="B23" s="13" t="s">
        <v>228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7" t="s">
        <v>3174</v>
      </c>
      <c r="AB23" s="13"/>
      <c r="AC23" s="13"/>
      <c r="AD23" s="13"/>
      <c r="AE23" s="13"/>
      <c r="AF23" t="s">
        <v>2921</v>
      </c>
    </row>
    <row r="24" spans="1:32" ht="36" customHeight="1" x14ac:dyDescent="0.25">
      <c r="A24" s="14" t="s">
        <v>3175</v>
      </c>
      <c r="B24" s="13" t="s">
        <v>228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3176</v>
      </c>
      <c r="AB24" s="13"/>
      <c r="AC24" s="13"/>
      <c r="AD24" s="13"/>
      <c r="AE24" s="13"/>
      <c r="AF24" t="s">
        <v>3029</v>
      </c>
    </row>
    <row r="25" spans="1:32" ht="36" customHeight="1" x14ac:dyDescent="0.25">
      <c r="A25" s="14" t="s">
        <v>3177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2500</v>
      </c>
      <c r="AB25" s="13"/>
      <c r="AC25" s="13"/>
      <c r="AD25" s="13"/>
      <c r="AE25" s="13"/>
      <c r="AF25" t="s">
        <v>3178</v>
      </c>
    </row>
  </sheetData>
  <mergeCells count="1">
    <mergeCell ref="A1:A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9"/>
  <sheetViews>
    <sheetView workbookViewId="0">
      <pane xSplit="2" ySplit="2" topLeftCell="X6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Directory'!A1","Security &amp; Privacy"),"Security &amp; Privacy")</f>
        <v>Security &amp; Privacy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3179</v>
      </c>
      <c r="B3" s="13"/>
      <c r="C3" s="13" t="s">
        <v>3180</v>
      </c>
      <c r="D3" s="13" t="s">
        <v>3180</v>
      </c>
      <c r="E3" s="13" t="s">
        <v>3181</v>
      </c>
      <c r="F3" s="13" t="s">
        <v>3180</v>
      </c>
      <c r="G3" s="13" t="s">
        <v>3182</v>
      </c>
      <c r="H3" s="13" t="s">
        <v>3183</v>
      </c>
      <c r="I3" s="13" t="s">
        <v>3184</v>
      </c>
      <c r="J3" s="13" t="s">
        <v>3185</v>
      </c>
      <c r="K3" s="13" t="s">
        <v>3180</v>
      </c>
      <c r="L3" s="13" t="s">
        <v>3186</v>
      </c>
      <c r="M3" s="13" t="s">
        <v>3187</v>
      </c>
      <c r="N3" s="13" t="s">
        <v>3180</v>
      </c>
      <c r="O3" s="13" t="s">
        <v>3180</v>
      </c>
      <c r="P3" s="13" t="s">
        <v>3188</v>
      </c>
      <c r="Q3" s="13" t="s">
        <v>3189</v>
      </c>
      <c r="R3" s="13" t="s">
        <v>3189</v>
      </c>
      <c r="S3" s="13" t="s">
        <v>3189</v>
      </c>
      <c r="T3" s="13" t="s">
        <v>3189</v>
      </c>
      <c r="U3" s="13" t="s">
        <v>3189</v>
      </c>
      <c r="V3" s="13" t="s">
        <v>3190</v>
      </c>
      <c r="W3" s="13" t="s">
        <v>3189</v>
      </c>
      <c r="X3" s="13" t="s">
        <v>3191</v>
      </c>
      <c r="Y3" s="13" t="s">
        <v>3192</v>
      </c>
      <c r="Z3" s="13" t="s">
        <v>3193</v>
      </c>
      <c r="AA3" s="17" t="s">
        <v>3189</v>
      </c>
      <c r="AB3" s="13" t="s">
        <v>3189</v>
      </c>
      <c r="AC3" s="13" t="s">
        <v>3189</v>
      </c>
      <c r="AD3" s="13" t="s">
        <v>3189</v>
      </c>
      <c r="AE3" s="13" t="s">
        <v>3189</v>
      </c>
      <c r="AF3" t="s">
        <v>3194</v>
      </c>
    </row>
    <row r="4" spans="1:32" ht="36" customHeight="1" x14ac:dyDescent="0.25">
      <c r="A4" s="14" t="s">
        <v>3195</v>
      </c>
      <c r="B4" s="13" t="s">
        <v>193</v>
      </c>
      <c r="C4" s="13" t="s">
        <v>194</v>
      </c>
      <c r="D4" s="13" t="s">
        <v>195</v>
      </c>
      <c r="E4" s="13" t="s">
        <v>196</v>
      </c>
      <c r="F4" s="13" t="s">
        <v>197</v>
      </c>
      <c r="G4" s="13" t="s">
        <v>198</v>
      </c>
      <c r="H4" s="13" t="s">
        <v>199</v>
      </c>
      <c r="I4" s="13" t="s">
        <v>200</v>
      </c>
      <c r="J4" s="13"/>
      <c r="K4" s="13" t="s">
        <v>201</v>
      </c>
      <c r="L4" s="13" t="s">
        <v>202</v>
      </c>
      <c r="M4" s="13" t="s">
        <v>203</v>
      </c>
      <c r="N4" s="13" t="s">
        <v>204</v>
      </c>
      <c r="O4" s="13" t="s">
        <v>205</v>
      </c>
      <c r="P4" s="13" t="s">
        <v>206</v>
      </c>
      <c r="Q4" s="13"/>
      <c r="R4" s="13" t="s">
        <v>208</v>
      </c>
      <c r="S4" s="13" t="s">
        <v>209</v>
      </c>
      <c r="T4" s="13" t="s">
        <v>210</v>
      </c>
      <c r="U4" s="13" t="s">
        <v>211</v>
      </c>
      <c r="V4" s="13" t="s">
        <v>212</v>
      </c>
      <c r="W4" s="13" t="s">
        <v>213</v>
      </c>
      <c r="X4" s="13" t="s">
        <v>214</v>
      </c>
      <c r="Y4" s="13" t="s">
        <v>215</v>
      </c>
      <c r="Z4" s="13" t="s">
        <v>216</v>
      </c>
      <c r="AA4" s="17" t="s">
        <v>217</v>
      </c>
      <c r="AB4" s="13" t="s">
        <v>218</v>
      </c>
      <c r="AC4" s="13" t="s">
        <v>206</v>
      </c>
      <c r="AD4" s="13" t="s">
        <v>219</v>
      </c>
      <c r="AE4" s="13" t="s">
        <v>206</v>
      </c>
      <c r="AF4" t="s">
        <v>3196</v>
      </c>
    </row>
    <row r="5" spans="1:32" ht="36" customHeight="1" x14ac:dyDescent="0.25">
      <c r="A5" s="14" t="s">
        <v>3197</v>
      </c>
      <c r="B5" s="13" t="s">
        <v>3198</v>
      </c>
      <c r="C5" s="13" t="s">
        <v>194</v>
      </c>
      <c r="D5" s="13"/>
      <c r="E5" s="13" t="s">
        <v>225</v>
      </c>
      <c r="F5" s="13" t="s">
        <v>197</v>
      </c>
      <c r="G5" s="13" t="s">
        <v>3199</v>
      </c>
      <c r="H5" s="13" t="s">
        <v>199</v>
      </c>
      <c r="I5" s="13" t="s">
        <v>228</v>
      </c>
      <c r="J5" s="13"/>
      <c r="K5" s="13" t="s">
        <v>225</v>
      </c>
      <c r="L5" s="13" t="s">
        <v>225</v>
      </c>
      <c r="M5" s="13" t="s">
        <v>3200</v>
      </c>
      <c r="N5" s="13" t="s">
        <v>204</v>
      </c>
      <c r="O5" s="13" t="s">
        <v>225</v>
      </c>
      <c r="P5" s="13" t="s">
        <v>225</v>
      </c>
      <c r="Q5" s="13"/>
      <c r="R5" s="13"/>
      <c r="S5" s="13" t="s">
        <v>209</v>
      </c>
      <c r="T5" s="13"/>
      <c r="U5" s="13"/>
      <c r="V5" s="13" t="s">
        <v>225</v>
      </c>
      <c r="W5" s="13" t="s">
        <v>225</v>
      </c>
      <c r="X5" s="13"/>
      <c r="Y5" s="13" t="s">
        <v>215</v>
      </c>
      <c r="Z5" s="13"/>
      <c r="AA5" s="17" t="s">
        <v>3201</v>
      </c>
      <c r="AB5" s="13" t="s">
        <v>225</v>
      </c>
      <c r="AC5" s="13" t="s">
        <v>225</v>
      </c>
      <c r="AD5" s="13" t="s">
        <v>225</v>
      </c>
      <c r="AE5" s="13" t="s">
        <v>225</v>
      </c>
      <c r="AF5" t="s">
        <v>3196</v>
      </c>
    </row>
    <row r="6" spans="1:32" ht="36" customHeight="1" x14ac:dyDescent="0.25">
      <c r="A6" s="14" t="s">
        <v>3202</v>
      </c>
      <c r="B6" s="13" t="s">
        <v>222</v>
      </c>
      <c r="C6" s="13" t="s">
        <v>223</v>
      </c>
      <c r="D6" s="13" t="s">
        <v>224</v>
      </c>
      <c r="E6" s="13" t="s">
        <v>225</v>
      </c>
      <c r="F6" s="13" t="s">
        <v>197</v>
      </c>
      <c r="G6" s="13" t="s">
        <v>226</v>
      </c>
      <c r="H6" s="13" t="s">
        <v>227</v>
      </c>
      <c r="I6" s="13" t="s">
        <v>228</v>
      </c>
      <c r="J6" s="13"/>
      <c r="K6" s="13" t="s">
        <v>225</v>
      </c>
      <c r="L6" s="13" t="s">
        <v>225</v>
      </c>
      <c r="M6" s="13" t="s">
        <v>229</v>
      </c>
      <c r="N6" s="13" t="s">
        <v>230</v>
      </c>
      <c r="O6" s="13" t="s">
        <v>225</v>
      </c>
      <c r="P6" s="13" t="s">
        <v>225</v>
      </c>
      <c r="Q6" s="13"/>
      <c r="R6" s="13"/>
      <c r="S6" s="13"/>
      <c r="T6" s="13"/>
      <c r="U6" s="13"/>
      <c r="V6" s="13" t="s">
        <v>225</v>
      </c>
      <c r="W6" s="13" t="s">
        <v>225</v>
      </c>
      <c r="X6" s="13" t="s">
        <v>232</v>
      </c>
      <c r="Y6" s="13" t="s">
        <v>233</v>
      </c>
      <c r="Z6" s="13" t="s">
        <v>234</v>
      </c>
      <c r="AA6" s="17" t="s">
        <v>235</v>
      </c>
      <c r="AB6" s="13" t="s">
        <v>225</v>
      </c>
      <c r="AC6" s="13" t="s">
        <v>225</v>
      </c>
      <c r="AD6" s="13" t="s">
        <v>225</v>
      </c>
      <c r="AE6" s="13" t="s">
        <v>225</v>
      </c>
      <c r="AF6" t="s">
        <v>3196</v>
      </c>
    </row>
    <row r="7" spans="1:32" ht="36" customHeight="1" x14ac:dyDescent="0.25">
      <c r="A7" s="14" t="s">
        <v>3203</v>
      </c>
      <c r="B7" s="13" t="s">
        <v>3204</v>
      </c>
      <c r="C7" s="13"/>
      <c r="D7" s="13"/>
      <c r="E7" s="13" t="s">
        <v>3205</v>
      </c>
      <c r="F7" s="13" t="s">
        <v>3206</v>
      </c>
      <c r="G7" s="13" t="s">
        <v>3207</v>
      </c>
      <c r="H7" s="13"/>
      <c r="I7" s="13" t="s">
        <v>3208</v>
      </c>
      <c r="J7" s="13"/>
      <c r="K7" s="13" t="s">
        <v>3209</v>
      </c>
      <c r="L7" s="13"/>
      <c r="M7" s="13" t="s">
        <v>3210</v>
      </c>
      <c r="N7" s="13" t="s">
        <v>3211</v>
      </c>
      <c r="O7" s="13"/>
      <c r="P7" s="13" t="s">
        <v>3212</v>
      </c>
      <c r="Q7" s="13"/>
      <c r="R7" s="13"/>
      <c r="S7" s="13" t="s">
        <v>209</v>
      </c>
      <c r="T7" s="13"/>
      <c r="U7" s="13"/>
      <c r="V7" s="13"/>
      <c r="W7" s="13"/>
      <c r="X7" s="13"/>
      <c r="Y7" s="13" t="s">
        <v>3213</v>
      </c>
      <c r="Z7" s="13"/>
      <c r="AA7" s="17" t="s">
        <v>3214</v>
      </c>
      <c r="AB7" s="13"/>
      <c r="AC7" s="13"/>
      <c r="AD7" s="13"/>
      <c r="AE7" s="13"/>
      <c r="AF7" t="s">
        <v>3215</v>
      </c>
    </row>
    <row r="8" spans="1:32" ht="36" customHeight="1" x14ac:dyDescent="0.25">
      <c r="A8" s="14" t="s">
        <v>3216</v>
      </c>
      <c r="B8" s="13" t="s">
        <v>2867</v>
      </c>
      <c r="C8" s="13"/>
      <c r="D8" s="13"/>
      <c r="E8" s="13" t="s">
        <v>2868</v>
      </c>
      <c r="F8" s="13" t="s">
        <v>2869</v>
      </c>
      <c r="G8" s="13" t="s">
        <v>2870</v>
      </c>
      <c r="H8" s="13" t="s">
        <v>2871</v>
      </c>
      <c r="I8" s="13" t="s">
        <v>2872</v>
      </c>
      <c r="J8" s="13"/>
      <c r="K8" s="13" t="s">
        <v>2873</v>
      </c>
      <c r="L8" s="13" t="s">
        <v>2874</v>
      </c>
      <c r="M8" s="13" t="s">
        <v>2874</v>
      </c>
      <c r="N8" s="13" t="s">
        <v>2875</v>
      </c>
      <c r="O8" s="13" t="s">
        <v>2876</v>
      </c>
      <c r="P8" s="13" t="s">
        <v>2877</v>
      </c>
      <c r="Q8" s="13"/>
      <c r="R8" s="13" t="s">
        <v>2878</v>
      </c>
      <c r="S8" s="13"/>
      <c r="T8" s="13" t="s">
        <v>2879</v>
      </c>
      <c r="U8" s="13" t="s">
        <v>2880</v>
      </c>
      <c r="V8" s="13" t="s">
        <v>2881</v>
      </c>
      <c r="W8" s="13" t="s">
        <v>2882</v>
      </c>
      <c r="X8" s="13" t="s">
        <v>2883</v>
      </c>
      <c r="Y8" s="13" t="s">
        <v>2884</v>
      </c>
      <c r="Z8" s="13" t="s">
        <v>2885</v>
      </c>
      <c r="AA8" s="17" t="s">
        <v>2886</v>
      </c>
      <c r="AB8" s="13"/>
      <c r="AC8" s="13"/>
      <c r="AD8" s="13" t="s">
        <v>2887</v>
      </c>
      <c r="AE8" s="13"/>
      <c r="AF8" t="s">
        <v>3217</v>
      </c>
    </row>
    <row r="9" spans="1:32" ht="36" customHeight="1" x14ac:dyDescent="0.25">
      <c r="A9" s="14" t="s">
        <v>3218</v>
      </c>
      <c r="B9" s="13" t="s">
        <v>3219</v>
      </c>
      <c r="C9" s="13"/>
      <c r="D9" s="13"/>
      <c r="E9" s="13" t="s">
        <v>3220</v>
      </c>
      <c r="F9" s="13"/>
      <c r="G9" s="13" t="s">
        <v>1030</v>
      </c>
      <c r="H9" s="13" t="s">
        <v>3050</v>
      </c>
      <c r="I9" s="13" t="s">
        <v>3221</v>
      </c>
      <c r="J9" s="13" t="s">
        <v>3222</v>
      </c>
      <c r="K9" s="13" t="s">
        <v>3223</v>
      </c>
      <c r="L9" s="13" t="s">
        <v>3224</v>
      </c>
      <c r="M9" s="13" t="s">
        <v>3225</v>
      </c>
      <c r="N9" s="13"/>
      <c r="O9" s="13"/>
      <c r="P9" s="13" t="s">
        <v>3226</v>
      </c>
      <c r="Q9" s="13"/>
      <c r="R9" s="13"/>
      <c r="S9" s="13"/>
      <c r="T9" s="13" t="s">
        <v>3226</v>
      </c>
      <c r="U9" s="13" t="s">
        <v>3227</v>
      </c>
      <c r="V9" s="13" t="s">
        <v>3227</v>
      </c>
      <c r="W9" s="13" t="s">
        <v>3228</v>
      </c>
      <c r="X9" s="13" t="s">
        <v>3229</v>
      </c>
      <c r="Y9" s="13" t="s">
        <v>3230</v>
      </c>
      <c r="Z9" s="13" t="s">
        <v>3231</v>
      </c>
      <c r="AA9" s="17" t="s">
        <v>3232</v>
      </c>
      <c r="AB9" s="13" t="s">
        <v>3233</v>
      </c>
      <c r="AC9" s="13"/>
      <c r="AD9" s="13"/>
      <c r="AE9" s="13"/>
      <c r="AF9" t="s">
        <v>3234</v>
      </c>
    </row>
    <row r="10" spans="1:32" ht="36" customHeight="1" x14ac:dyDescent="0.25">
      <c r="A10" s="14" t="s">
        <v>3235</v>
      </c>
      <c r="B10" s="13" t="s">
        <v>3236</v>
      </c>
      <c r="C10" s="13"/>
      <c r="D10" s="13"/>
      <c r="E10" s="13" t="s">
        <v>3237</v>
      </c>
      <c r="F10" s="13" t="s">
        <v>3238</v>
      </c>
      <c r="G10" s="13" t="s">
        <v>3239</v>
      </c>
      <c r="H10" s="13" t="s">
        <v>3050</v>
      </c>
      <c r="I10" s="13" t="s">
        <v>3221</v>
      </c>
      <c r="J10" s="13" t="s">
        <v>3222</v>
      </c>
      <c r="K10" s="13" t="s">
        <v>3240</v>
      </c>
      <c r="L10" s="13" t="s">
        <v>3224</v>
      </c>
      <c r="M10" s="13" t="s">
        <v>3225</v>
      </c>
      <c r="N10" s="13" t="s">
        <v>3241</v>
      </c>
      <c r="O10" s="13"/>
      <c r="P10" s="13"/>
      <c r="Q10" s="13"/>
      <c r="R10" s="13"/>
      <c r="S10" s="13"/>
      <c r="T10" s="13"/>
      <c r="U10" s="13" t="s">
        <v>3227</v>
      </c>
      <c r="V10" s="13" t="s">
        <v>3227</v>
      </c>
      <c r="W10" s="13" t="s">
        <v>3242</v>
      </c>
      <c r="X10" s="13" t="s">
        <v>3243</v>
      </c>
      <c r="Y10" s="13" t="s">
        <v>3244</v>
      </c>
      <c r="Z10" s="13" t="s">
        <v>3245</v>
      </c>
      <c r="AA10" s="17"/>
      <c r="AB10" s="13"/>
      <c r="AC10" s="13"/>
      <c r="AD10" s="13"/>
      <c r="AE10" s="13"/>
      <c r="AF10" t="s">
        <v>3246</v>
      </c>
    </row>
    <row r="11" spans="1:32" ht="36" customHeight="1" x14ac:dyDescent="0.25">
      <c r="A11" s="14" t="s">
        <v>3247</v>
      </c>
      <c r="B11" s="13"/>
      <c r="C11" s="13"/>
      <c r="D11" s="13"/>
      <c r="E11" s="13"/>
      <c r="F11" s="13"/>
      <c r="G11" s="13" t="s">
        <v>2122</v>
      </c>
      <c r="H11" s="13"/>
      <c r="I11" s="13" t="s">
        <v>228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2123</v>
      </c>
      <c r="AB11" s="13"/>
      <c r="AC11" s="13"/>
      <c r="AD11" s="13"/>
      <c r="AE11" s="13"/>
      <c r="AF11" t="s">
        <v>1975</v>
      </c>
    </row>
    <row r="12" spans="1:32" ht="36" customHeight="1" x14ac:dyDescent="0.25">
      <c r="A12" s="14" t="s">
        <v>3248</v>
      </c>
      <c r="B12" s="13"/>
      <c r="C12" s="13" t="s">
        <v>3249</v>
      </c>
      <c r="D12" s="13" t="s">
        <v>3250</v>
      </c>
      <c r="E12" s="13" t="s">
        <v>3251</v>
      </c>
      <c r="F12" s="13" t="s">
        <v>3252</v>
      </c>
      <c r="G12" s="13" t="s">
        <v>3253</v>
      </c>
      <c r="H12" s="13" t="s">
        <v>3254</v>
      </c>
      <c r="I12" s="13" t="s">
        <v>3254</v>
      </c>
      <c r="J12" s="13" t="s">
        <v>3255</v>
      </c>
      <c r="K12" s="13" t="s">
        <v>3256</v>
      </c>
      <c r="L12" s="13" t="s">
        <v>3257</v>
      </c>
      <c r="M12" s="13" t="s">
        <v>3257</v>
      </c>
      <c r="N12" s="13" t="s">
        <v>3258</v>
      </c>
      <c r="O12" s="13"/>
      <c r="P12" s="13" t="s">
        <v>3259</v>
      </c>
      <c r="Q12" s="13" t="s">
        <v>3260</v>
      </c>
      <c r="R12" s="13" t="s">
        <v>3261</v>
      </c>
      <c r="S12" s="13"/>
      <c r="T12" s="13"/>
      <c r="U12" s="13" t="s">
        <v>3262</v>
      </c>
      <c r="V12" s="13" t="s">
        <v>3263</v>
      </c>
      <c r="W12" s="13" t="s">
        <v>3264</v>
      </c>
      <c r="X12" s="13" t="s">
        <v>3265</v>
      </c>
      <c r="Y12" s="13" t="s">
        <v>3266</v>
      </c>
      <c r="Z12" s="13" t="s">
        <v>3267</v>
      </c>
      <c r="AA12" s="17"/>
      <c r="AB12" s="13" t="s">
        <v>3268</v>
      </c>
      <c r="AC12" s="13"/>
      <c r="AD12" s="13" t="s">
        <v>3261</v>
      </c>
      <c r="AE12" s="13"/>
      <c r="AF12" t="s">
        <v>3269</v>
      </c>
    </row>
    <row r="13" spans="1:32" ht="23.1" customHeight="1" x14ac:dyDescent="0.25">
      <c r="A13" s="15" t="s">
        <v>3270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</row>
    <row r="14" spans="1:32" ht="36" customHeight="1" x14ac:dyDescent="0.25">
      <c r="A14" s="14" t="s">
        <v>3271</v>
      </c>
      <c r="B14" s="13" t="s">
        <v>215</v>
      </c>
      <c r="C14" s="13"/>
      <c r="D14" s="13"/>
      <c r="E14" s="13" t="s">
        <v>215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215</v>
      </c>
      <c r="AB14" s="13"/>
      <c r="AC14" s="13"/>
      <c r="AD14" s="13"/>
      <c r="AE14" s="13"/>
      <c r="AF14" t="s">
        <v>3272</v>
      </c>
    </row>
    <row r="15" spans="1:32" ht="36" customHeight="1" x14ac:dyDescent="0.25">
      <c r="A15" s="14" t="s">
        <v>3273</v>
      </c>
      <c r="B15" s="13" t="s">
        <v>3274</v>
      </c>
      <c r="C15" s="13" t="s">
        <v>3275</v>
      </c>
      <c r="D15" s="13" t="s">
        <v>3276</v>
      </c>
      <c r="E15" s="13" t="s">
        <v>215</v>
      </c>
      <c r="F15" s="13" t="s">
        <v>3277</v>
      </c>
      <c r="G15" s="13" t="s">
        <v>3278</v>
      </c>
      <c r="H15" s="13" t="s">
        <v>3279</v>
      </c>
      <c r="I15" s="13" t="s">
        <v>3280</v>
      </c>
      <c r="J15" s="13"/>
      <c r="K15" s="13" t="s">
        <v>215</v>
      </c>
      <c r="L15" s="13" t="s">
        <v>215</v>
      </c>
      <c r="M15" s="13" t="s">
        <v>3281</v>
      </c>
      <c r="N15" s="13" t="s">
        <v>3282</v>
      </c>
      <c r="O15" s="13" t="s">
        <v>3283</v>
      </c>
      <c r="P15" s="13" t="s">
        <v>3274</v>
      </c>
      <c r="Q15" s="13" t="s">
        <v>3284</v>
      </c>
      <c r="R15" s="13" t="s">
        <v>3285</v>
      </c>
      <c r="S15" s="13"/>
      <c r="T15" s="13" t="s">
        <v>3286</v>
      </c>
      <c r="U15" s="13" t="s">
        <v>3287</v>
      </c>
      <c r="V15" s="13" t="s">
        <v>215</v>
      </c>
      <c r="W15" s="13" t="s">
        <v>3288</v>
      </c>
      <c r="X15" s="13" t="s">
        <v>3289</v>
      </c>
      <c r="Y15" s="13" t="s">
        <v>3290</v>
      </c>
      <c r="Z15" s="13" t="s">
        <v>3291</v>
      </c>
      <c r="AA15" s="17" t="s">
        <v>3292</v>
      </c>
      <c r="AB15" s="13" t="s">
        <v>3283</v>
      </c>
      <c r="AC15" s="13" t="s">
        <v>3274</v>
      </c>
      <c r="AD15" s="13" t="s">
        <v>215</v>
      </c>
      <c r="AE15" s="13" t="s">
        <v>215</v>
      </c>
      <c r="AF15" t="s">
        <v>3293</v>
      </c>
    </row>
    <row r="16" spans="1:32" ht="36" customHeight="1" x14ac:dyDescent="0.25">
      <c r="A16" s="14" t="s">
        <v>3294</v>
      </c>
      <c r="B16" s="13" t="s">
        <v>3236</v>
      </c>
      <c r="C16" s="13"/>
      <c r="D16" s="13"/>
      <c r="E16" s="13" t="s">
        <v>3237</v>
      </c>
      <c r="F16" s="13" t="s">
        <v>3238</v>
      </c>
      <c r="G16" s="13" t="s">
        <v>3239</v>
      </c>
      <c r="H16" s="13" t="s">
        <v>3050</v>
      </c>
      <c r="I16" s="13" t="s">
        <v>3221</v>
      </c>
      <c r="J16" s="13" t="s">
        <v>3222</v>
      </c>
      <c r="K16" s="13" t="s">
        <v>3240</v>
      </c>
      <c r="L16" s="13" t="s">
        <v>3224</v>
      </c>
      <c r="M16" s="13" t="s">
        <v>3225</v>
      </c>
      <c r="N16" s="13" t="s">
        <v>3241</v>
      </c>
      <c r="O16" s="13"/>
      <c r="P16" s="13"/>
      <c r="Q16" s="13"/>
      <c r="R16" s="13"/>
      <c r="S16" s="13"/>
      <c r="T16" s="13"/>
      <c r="U16" s="13" t="s">
        <v>3227</v>
      </c>
      <c r="V16" s="13" t="s">
        <v>3227</v>
      </c>
      <c r="W16" s="13" t="s">
        <v>3242</v>
      </c>
      <c r="X16" s="13" t="s">
        <v>3243</v>
      </c>
      <c r="Y16" s="13" t="s">
        <v>3244</v>
      </c>
      <c r="Z16" s="13" t="s">
        <v>3245</v>
      </c>
      <c r="AA16" s="17"/>
      <c r="AB16" s="13"/>
      <c r="AC16" s="13"/>
      <c r="AD16" s="13"/>
      <c r="AE16" s="13"/>
      <c r="AF16" t="s">
        <v>3246</v>
      </c>
    </row>
    <row r="17" spans="1:32" ht="36" customHeight="1" x14ac:dyDescent="0.25">
      <c r="A17" s="14" t="s">
        <v>3295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3296</v>
      </c>
      <c r="AB17" s="13"/>
      <c r="AC17" s="13"/>
      <c r="AD17" s="13"/>
      <c r="AE17" s="13"/>
      <c r="AF17" t="s">
        <v>3246</v>
      </c>
    </row>
    <row r="18" spans="1:32" ht="36" customHeight="1" x14ac:dyDescent="0.25">
      <c r="A18" s="14" t="s">
        <v>2121</v>
      </c>
      <c r="B18" s="13"/>
      <c r="C18" s="13"/>
      <c r="D18" s="13"/>
      <c r="E18" s="13"/>
      <c r="F18" s="13"/>
      <c r="G18" s="13" t="s">
        <v>2122</v>
      </c>
      <c r="H18" s="13"/>
      <c r="I18" s="13" t="s">
        <v>228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 t="s">
        <v>2123</v>
      </c>
      <c r="AB18" s="13"/>
      <c r="AC18" s="13"/>
      <c r="AD18" s="13"/>
      <c r="AE18" s="13"/>
      <c r="AF18" t="s">
        <v>1975</v>
      </c>
    </row>
    <row r="19" spans="1:32" ht="36" customHeight="1" x14ac:dyDescent="0.25">
      <c r="A19" s="14" t="s">
        <v>3297</v>
      </c>
      <c r="B19" s="13"/>
      <c r="C19" s="13" t="s">
        <v>3298</v>
      </c>
      <c r="D19" s="13"/>
      <c r="E19" s="13"/>
      <c r="F19" s="13"/>
      <c r="G19" s="13"/>
      <c r="H19" s="13" t="s">
        <v>3298</v>
      </c>
      <c r="I19" s="13" t="s">
        <v>3298</v>
      </c>
      <c r="J19" s="13" t="s">
        <v>3298</v>
      </c>
      <c r="K19" s="13" t="s">
        <v>3298</v>
      </c>
      <c r="L19" s="13" t="s">
        <v>3298</v>
      </c>
      <c r="M19" s="13" t="s">
        <v>3298</v>
      </c>
      <c r="N19" s="13" t="s">
        <v>3298</v>
      </c>
      <c r="O19" s="13"/>
      <c r="P19" s="13" t="s">
        <v>215</v>
      </c>
      <c r="Q19" s="13" t="s">
        <v>3298</v>
      </c>
      <c r="R19" s="13" t="s">
        <v>3298</v>
      </c>
      <c r="S19" s="13"/>
      <c r="T19" s="13"/>
      <c r="U19" s="13" t="s">
        <v>3298</v>
      </c>
      <c r="V19" s="13" t="s">
        <v>3298</v>
      </c>
      <c r="W19" s="13"/>
      <c r="X19" s="13" t="s">
        <v>3298</v>
      </c>
      <c r="Y19" s="13"/>
      <c r="Z19" s="13" t="s">
        <v>3298</v>
      </c>
      <c r="AA19" s="17"/>
      <c r="AB19" s="13" t="s">
        <v>3298</v>
      </c>
      <c r="AC19" s="13"/>
      <c r="AD19" s="13" t="s">
        <v>3298</v>
      </c>
      <c r="AE19" s="13"/>
      <c r="AF19" t="s">
        <v>3299</v>
      </c>
    </row>
  </sheetData>
  <mergeCells count="1">
    <mergeCell ref="A1:A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22"/>
  <sheetViews>
    <sheetView workbookViewId="0">
      <pane xSplit="2" ySplit="2" topLeftCell="X6" activePane="bottomRight" state="frozen"/>
      <selection pane="topRight" activeCell="C1" sqref="C1"/>
      <selection pane="bottomLeft" activeCell="A3" sqref="A3"/>
      <selection pane="bottomRight" activeCell="AA20" sqref="AA20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Directory'!A1","Encryption Details"),"Encryption Details")</f>
        <v>Encryption Details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3300</v>
      </c>
      <c r="B3" s="13" t="s">
        <v>630</v>
      </c>
      <c r="C3" s="13" t="s">
        <v>631</v>
      </c>
      <c r="D3" s="13" t="s">
        <v>215</v>
      </c>
      <c r="E3" s="13" t="s">
        <v>225</v>
      </c>
      <c r="F3" s="13" t="s">
        <v>632</v>
      </c>
      <c r="G3" s="13" t="s">
        <v>633</v>
      </c>
      <c r="H3" s="13" t="s">
        <v>634</v>
      </c>
      <c r="I3" s="13" t="s">
        <v>228</v>
      </c>
      <c r="J3" s="13"/>
      <c r="K3" s="13" t="s">
        <v>225</v>
      </c>
      <c r="L3" s="13" t="s">
        <v>225</v>
      </c>
      <c r="M3" s="13" t="s">
        <v>635</v>
      </c>
      <c r="N3" s="13" t="s">
        <v>225</v>
      </c>
      <c r="O3" s="13" t="s">
        <v>631</v>
      </c>
      <c r="P3" s="13" t="s">
        <v>225</v>
      </c>
      <c r="Q3" s="13"/>
      <c r="R3" s="13" t="s">
        <v>636</v>
      </c>
      <c r="S3" s="13" t="s">
        <v>209</v>
      </c>
      <c r="T3" s="13"/>
      <c r="U3" s="13"/>
      <c r="V3" s="13" t="s">
        <v>225</v>
      </c>
      <c r="W3" s="13" t="s">
        <v>631</v>
      </c>
      <c r="X3" s="13" t="s">
        <v>215</v>
      </c>
      <c r="Y3" s="13" t="s">
        <v>215</v>
      </c>
      <c r="Z3" s="13" t="s">
        <v>637</v>
      </c>
      <c r="AA3" s="17" t="s">
        <v>215</v>
      </c>
      <c r="AB3" s="13" t="s">
        <v>218</v>
      </c>
      <c r="AC3" s="13" t="s">
        <v>194</v>
      </c>
      <c r="AD3" s="13" t="s">
        <v>219</v>
      </c>
      <c r="AE3" s="13" t="s">
        <v>225</v>
      </c>
      <c r="AF3" t="s">
        <v>3196</v>
      </c>
    </row>
    <row r="4" spans="1:32" ht="36" customHeight="1" x14ac:dyDescent="0.25">
      <c r="A4" s="14" t="s">
        <v>3301</v>
      </c>
      <c r="B4" s="13" t="s">
        <v>630</v>
      </c>
      <c r="C4" s="13" t="s">
        <v>631</v>
      </c>
      <c r="D4" s="13"/>
      <c r="E4" s="13" t="s">
        <v>225</v>
      </c>
      <c r="F4" s="13" t="s">
        <v>3302</v>
      </c>
      <c r="G4" s="13" t="s">
        <v>3303</v>
      </c>
      <c r="H4" s="13" t="s">
        <v>634</v>
      </c>
      <c r="I4" s="13" t="s">
        <v>228</v>
      </c>
      <c r="J4" s="13"/>
      <c r="K4" s="13" t="s">
        <v>225</v>
      </c>
      <c r="L4" s="13" t="s">
        <v>225</v>
      </c>
      <c r="M4" s="13" t="s">
        <v>3304</v>
      </c>
      <c r="N4" s="13" t="s">
        <v>225</v>
      </c>
      <c r="O4" s="13" t="s">
        <v>225</v>
      </c>
      <c r="P4" s="13" t="s">
        <v>225</v>
      </c>
      <c r="Q4" s="13"/>
      <c r="R4" s="13"/>
      <c r="S4" s="13" t="s">
        <v>209</v>
      </c>
      <c r="T4" s="13"/>
      <c r="U4" s="13"/>
      <c r="V4" s="13" t="s">
        <v>225</v>
      </c>
      <c r="W4" s="13" t="s">
        <v>225</v>
      </c>
      <c r="X4" s="13" t="s">
        <v>215</v>
      </c>
      <c r="Y4" s="13" t="s">
        <v>215</v>
      </c>
      <c r="Z4" s="13"/>
      <c r="AA4" s="17" t="s">
        <v>3305</v>
      </c>
      <c r="AB4" s="13" t="s">
        <v>225</v>
      </c>
      <c r="AC4" s="13" t="s">
        <v>225</v>
      </c>
      <c r="AD4" s="13" t="s">
        <v>225</v>
      </c>
      <c r="AE4" s="13" t="s">
        <v>225</v>
      </c>
      <c r="AF4" t="s">
        <v>3196</v>
      </c>
    </row>
    <row r="5" spans="1:32" ht="36" customHeight="1" x14ac:dyDescent="0.25">
      <c r="A5" s="14" t="s">
        <v>3306</v>
      </c>
      <c r="B5" s="13" t="s">
        <v>630</v>
      </c>
      <c r="C5" s="13" t="s">
        <v>225</v>
      </c>
      <c r="D5" s="13" t="s">
        <v>225</v>
      </c>
      <c r="E5" s="13" t="s">
        <v>225</v>
      </c>
      <c r="F5" s="13" t="s">
        <v>3302</v>
      </c>
      <c r="G5" s="13" t="s">
        <v>3303</v>
      </c>
      <c r="H5" s="13" t="s">
        <v>634</v>
      </c>
      <c r="I5" s="13" t="s">
        <v>228</v>
      </c>
      <c r="J5" s="13"/>
      <c r="K5" s="13" t="s">
        <v>225</v>
      </c>
      <c r="L5" s="13" t="s">
        <v>225</v>
      </c>
      <c r="M5" s="13" t="s">
        <v>3307</v>
      </c>
      <c r="N5" s="13" t="s">
        <v>225</v>
      </c>
      <c r="O5" s="13" t="s">
        <v>225</v>
      </c>
      <c r="P5" s="13" t="s">
        <v>225</v>
      </c>
      <c r="Q5" s="13"/>
      <c r="R5" s="13" t="s">
        <v>636</v>
      </c>
      <c r="S5" s="13"/>
      <c r="T5" s="13"/>
      <c r="U5" s="13"/>
      <c r="V5" s="13" t="s">
        <v>225</v>
      </c>
      <c r="W5" s="13" t="s">
        <v>225</v>
      </c>
      <c r="X5" s="13" t="s">
        <v>215</v>
      </c>
      <c r="Y5" s="13" t="s">
        <v>3308</v>
      </c>
      <c r="Z5" s="13" t="s">
        <v>3309</v>
      </c>
      <c r="AA5" s="17" t="s">
        <v>3310</v>
      </c>
      <c r="AB5" s="13" t="s">
        <v>225</v>
      </c>
      <c r="AC5" s="13" t="s">
        <v>225</v>
      </c>
      <c r="AD5" s="13" t="s">
        <v>225</v>
      </c>
      <c r="AE5" s="13" t="s">
        <v>225</v>
      </c>
      <c r="AF5" t="s">
        <v>3196</v>
      </c>
    </row>
    <row r="6" spans="1:32" ht="36" customHeight="1" x14ac:dyDescent="0.25">
      <c r="A6" s="14" t="s">
        <v>3311</v>
      </c>
      <c r="B6" s="13" t="s">
        <v>3312</v>
      </c>
      <c r="C6" s="13"/>
      <c r="D6" s="13"/>
      <c r="E6" s="13" t="s">
        <v>494</v>
      </c>
      <c r="F6" s="13" t="s">
        <v>3313</v>
      </c>
      <c r="G6" s="13" t="s">
        <v>3314</v>
      </c>
      <c r="H6" s="13"/>
      <c r="I6" s="13" t="s">
        <v>3315</v>
      </c>
      <c r="J6" s="13"/>
      <c r="K6" s="13" t="s">
        <v>3209</v>
      </c>
      <c r="L6" s="13" t="s">
        <v>3316</v>
      </c>
      <c r="M6" s="13" t="s">
        <v>1818</v>
      </c>
      <c r="N6" s="13" t="s">
        <v>3317</v>
      </c>
      <c r="O6" s="13"/>
      <c r="P6" s="13" t="s">
        <v>3318</v>
      </c>
      <c r="Q6" s="13"/>
      <c r="R6" s="13"/>
      <c r="S6" s="13" t="s">
        <v>209</v>
      </c>
      <c r="T6" s="13"/>
      <c r="U6" s="13"/>
      <c r="V6" s="13" t="s">
        <v>494</v>
      </c>
      <c r="W6" s="13" t="s">
        <v>228</v>
      </c>
      <c r="X6" s="13"/>
      <c r="Y6" s="13" t="s">
        <v>3319</v>
      </c>
      <c r="Z6" s="13"/>
      <c r="AA6" s="17" t="s">
        <v>3320</v>
      </c>
      <c r="AB6" s="13"/>
      <c r="AC6" s="13"/>
      <c r="AD6" s="13"/>
      <c r="AE6" s="13"/>
      <c r="AF6" t="s">
        <v>3215</v>
      </c>
    </row>
    <row r="7" spans="1:32" ht="36" customHeight="1" x14ac:dyDescent="0.25">
      <c r="A7" s="14" t="s">
        <v>3321</v>
      </c>
      <c r="B7" s="13" t="s">
        <v>3312</v>
      </c>
      <c r="C7" s="13"/>
      <c r="D7" s="13"/>
      <c r="E7" s="13" t="s">
        <v>494</v>
      </c>
      <c r="F7" s="13" t="s">
        <v>218</v>
      </c>
      <c r="G7" s="13" t="s">
        <v>3314</v>
      </c>
      <c r="H7" s="13"/>
      <c r="I7" s="13" t="s">
        <v>228</v>
      </c>
      <c r="J7" s="13"/>
      <c r="K7" s="13" t="s">
        <v>3209</v>
      </c>
      <c r="L7" s="13" t="s">
        <v>3322</v>
      </c>
      <c r="M7" s="13" t="s">
        <v>1818</v>
      </c>
      <c r="N7" s="13"/>
      <c r="O7" s="13"/>
      <c r="P7" s="13" t="s">
        <v>3318</v>
      </c>
      <c r="Q7" s="13"/>
      <c r="R7" s="13"/>
      <c r="S7" s="13" t="s">
        <v>209</v>
      </c>
      <c r="T7" s="13"/>
      <c r="U7" s="13"/>
      <c r="V7" s="13" t="s">
        <v>494</v>
      </c>
      <c r="W7" s="13" t="s">
        <v>228</v>
      </c>
      <c r="X7" s="13"/>
      <c r="Y7" s="13" t="s">
        <v>3319</v>
      </c>
      <c r="Z7" s="13"/>
      <c r="AA7" s="17" t="s">
        <v>3320</v>
      </c>
      <c r="AB7" s="13"/>
      <c r="AC7" s="13"/>
      <c r="AD7" s="13"/>
      <c r="AE7" s="13"/>
      <c r="AF7" t="s">
        <v>3215</v>
      </c>
    </row>
    <row r="8" spans="1:32" ht="36" customHeight="1" x14ac:dyDescent="0.25">
      <c r="A8" s="14" t="s">
        <v>3323</v>
      </c>
      <c r="B8" s="13" t="s">
        <v>3324</v>
      </c>
      <c r="C8" s="13"/>
      <c r="D8" s="13"/>
      <c r="E8" s="13" t="s">
        <v>494</v>
      </c>
      <c r="F8" s="13" t="s">
        <v>218</v>
      </c>
      <c r="G8" s="13" t="s">
        <v>3314</v>
      </c>
      <c r="H8" s="13"/>
      <c r="I8" s="13" t="s">
        <v>228</v>
      </c>
      <c r="J8" s="13"/>
      <c r="K8" s="13" t="s">
        <v>3209</v>
      </c>
      <c r="L8" s="13" t="s">
        <v>3322</v>
      </c>
      <c r="M8" s="13" t="s">
        <v>1818</v>
      </c>
      <c r="N8" s="13"/>
      <c r="O8" s="13"/>
      <c r="P8" s="13"/>
      <c r="Q8" s="13"/>
      <c r="R8" s="13"/>
      <c r="S8" s="13"/>
      <c r="T8" s="13"/>
      <c r="U8" s="13"/>
      <c r="V8" s="13" t="s">
        <v>494</v>
      </c>
      <c r="W8" s="13" t="s">
        <v>228</v>
      </c>
      <c r="X8" s="13"/>
      <c r="Y8" s="13"/>
      <c r="Z8" s="13"/>
      <c r="AA8" s="17" t="s">
        <v>3325</v>
      </c>
      <c r="AB8" s="13"/>
      <c r="AC8" s="13"/>
      <c r="AD8" s="13"/>
      <c r="AE8" s="13"/>
      <c r="AF8" t="s">
        <v>3215</v>
      </c>
    </row>
    <row r="9" spans="1:32" ht="36" customHeight="1" x14ac:dyDescent="0.25">
      <c r="A9" s="14" t="s">
        <v>3326</v>
      </c>
      <c r="B9" s="13" t="s">
        <v>3327</v>
      </c>
      <c r="C9" s="13"/>
      <c r="D9" s="13" t="s">
        <v>3328</v>
      </c>
      <c r="E9" s="13" t="s">
        <v>3329</v>
      </c>
      <c r="F9" s="13" t="s">
        <v>3330</v>
      </c>
      <c r="G9" s="13" t="s">
        <v>3331</v>
      </c>
      <c r="H9" s="13" t="s">
        <v>3332</v>
      </c>
      <c r="I9" s="13" t="s">
        <v>3333</v>
      </c>
      <c r="J9" s="13"/>
      <c r="K9" s="13" t="s">
        <v>3334</v>
      </c>
      <c r="L9" s="13" t="s">
        <v>3335</v>
      </c>
      <c r="M9" s="13" t="s">
        <v>3336</v>
      </c>
      <c r="N9" s="13" t="s">
        <v>3337</v>
      </c>
      <c r="O9" s="13"/>
      <c r="P9" s="13" t="s">
        <v>3333</v>
      </c>
      <c r="Q9" s="13" t="s">
        <v>3338</v>
      </c>
      <c r="R9" s="13" t="s">
        <v>3339</v>
      </c>
      <c r="S9" s="13" t="s">
        <v>3340</v>
      </c>
      <c r="T9" s="13" t="s">
        <v>3341</v>
      </c>
      <c r="U9" s="13" t="s">
        <v>3342</v>
      </c>
      <c r="V9" s="13" t="s">
        <v>212</v>
      </c>
      <c r="W9" s="13" t="s">
        <v>3343</v>
      </c>
      <c r="X9" s="13" t="s">
        <v>3344</v>
      </c>
      <c r="Y9" s="13" t="s">
        <v>3345</v>
      </c>
      <c r="Z9" s="13" t="s">
        <v>3346</v>
      </c>
      <c r="AA9" s="17" t="s">
        <v>3347</v>
      </c>
      <c r="AB9" s="13" t="s">
        <v>3333</v>
      </c>
      <c r="AC9" s="13"/>
      <c r="AD9" s="13" t="s">
        <v>3348</v>
      </c>
      <c r="AE9" s="13" t="s">
        <v>3333</v>
      </c>
      <c r="AF9" t="s">
        <v>3349</v>
      </c>
    </row>
    <row r="10" spans="1:32" ht="36" customHeight="1" x14ac:dyDescent="0.25">
      <c r="A10" s="14" t="s">
        <v>3350</v>
      </c>
      <c r="B10" s="13" t="s">
        <v>3274</v>
      </c>
      <c r="C10" s="13" t="s">
        <v>3275</v>
      </c>
      <c r="D10" s="13" t="s">
        <v>3276</v>
      </c>
      <c r="E10" s="13" t="s">
        <v>215</v>
      </c>
      <c r="F10" s="13" t="s">
        <v>3277</v>
      </c>
      <c r="G10" s="13" t="s">
        <v>3278</v>
      </c>
      <c r="H10" s="13" t="s">
        <v>3279</v>
      </c>
      <c r="I10" s="13" t="s">
        <v>3280</v>
      </c>
      <c r="J10" s="13"/>
      <c r="K10" s="13" t="s">
        <v>215</v>
      </c>
      <c r="L10" s="13" t="s">
        <v>215</v>
      </c>
      <c r="M10" s="13" t="s">
        <v>3281</v>
      </c>
      <c r="N10" s="13" t="s">
        <v>3282</v>
      </c>
      <c r="O10" s="13" t="s">
        <v>3283</v>
      </c>
      <c r="P10" s="13" t="s">
        <v>3274</v>
      </c>
      <c r="Q10" s="13" t="s">
        <v>3284</v>
      </c>
      <c r="R10" s="13" t="s">
        <v>3285</v>
      </c>
      <c r="S10" s="13"/>
      <c r="T10" s="13" t="s">
        <v>3286</v>
      </c>
      <c r="U10" s="13" t="s">
        <v>3287</v>
      </c>
      <c r="V10" s="13" t="s">
        <v>215</v>
      </c>
      <c r="W10" s="13" t="s">
        <v>3288</v>
      </c>
      <c r="X10" s="13" t="s">
        <v>3289</v>
      </c>
      <c r="Y10" s="13" t="s">
        <v>3290</v>
      </c>
      <c r="Z10" s="13" t="s">
        <v>3291</v>
      </c>
      <c r="AA10" s="17" t="s">
        <v>3351</v>
      </c>
      <c r="AB10" s="13" t="s">
        <v>3283</v>
      </c>
      <c r="AC10" s="13" t="s">
        <v>3274</v>
      </c>
      <c r="AD10" s="13" t="s">
        <v>215</v>
      </c>
      <c r="AE10" s="13" t="s">
        <v>215</v>
      </c>
      <c r="AF10" t="s">
        <v>3293</v>
      </c>
    </row>
    <row r="11" spans="1:32" ht="36" customHeight="1" x14ac:dyDescent="0.25">
      <c r="A11" s="14" t="s">
        <v>3352</v>
      </c>
      <c r="B11" s="13" t="s">
        <v>3353</v>
      </c>
      <c r="C11" s="13"/>
      <c r="D11" s="13" t="s">
        <v>3354</v>
      </c>
      <c r="E11" s="13" t="s">
        <v>3355</v>
      </c>
      <c r="F11" s="13" t="s">
        <v>3356</v>
      </c>
      <c r="G11" s="13" t="s">
        <v>3357</v>
      </c>
      <c r="H11" s="13" t="s">
        <v>3050</v>
      </c>
      <c r="I11" s="13" t="s">
        <v>3358</v>
      </c>
      <c r="J11" s="13" t="s">
        <v>534</v>
      </c>
      <c r="K11" s="13" t="s">
        <v>3359</v>
      </c>
      <c r="L11" s="13" t="s">
        <v>3360</v>
      </c>
      <c r="M11" s="13" t="s">
        <v>3361</v>
      </c>
      <c r="N11" s="13"/>
      <c r="O11" s="13" t="s">
        <v>3359</v>
      </c>
      <c r="P11" s="13" t="s">
        <v>3359</v>
      </c>
      <c r="Q11" s="13"/>
      <c r="R11" s="13"/>
      <c r="S11" s="13"/>
      <c r="T11" s="13"/>
      <c r="U11" s="13"/>
      <c r="V11" s="13" t="s">
        <v>3362</v>
      </c>
      <c r="W11" s="13" t="s">
        <v>3363</v>
      </c>
      <c r="X11" s="13" t="s">
        <v>3364</v>
      </c>
      <c r="Y11" s="13" t="s">
        <v>3365</v>
      </c>
      <c r="Z11" s="13" t="s">
        <v>3366</v>
      </c>
      <c r="AA11" s="17" t="s">
        <v>3367</v>
      </c>
      <c r="AB11" s="13" t="s">
        <v>3359</v>
      </c>
      <c r="AC11" s="13" t="s">
        <v>3359</v>
      </c>
      <c r="AD11" s="13" t="s">
        <v>3359</v>
      </c>
      <c r="AE11" s="13" t="s">
        <v>3359</v>
      </c>
      <c r="AF11" t="s">
        <v>3368</v>
      </c>
    </row>
    <row r="12" spans="1:32" ht="36" customHeight="1" x14ac:dyDescent="0.25">
      <c r="A12" s="14" t="s">
        <v>3369</v>
      </c>
      <c r="B12" s="13" t="s">
        <v>3370</v>
      </c>
      <c r="C12" s="13"/>
      <c r="D12" s="13" t="s">
        <v>3371</v>
      </c>
      <c r="E12" s="13" t="s">
        <v>3372</v>
      </c>
      <c r="F12" s="13"/>
      <c r="G12" s="13" t="s">
        <v>3373</v>
      </c>
      <c r="H12" s="13"/>
      <c r="I12" s="13" t="s">
        <v>228</v>
      </c>
      <c r="J12" s="13"/>
      <c r="K12" s="13" t="s">
        <v>228</v>
      </c>
      <c r="L12" s="13" t="s">
        <v>228</v>
      </c>
      <c r="M12" s="13" t="s">
        <v>3374</v>
      </c>
      <c r="N12" s="13"/>
      <c r="O12" s="13" t="s">
        <v>228</v>
      </c>
      <c r="P12" s="13" t="s">
        <v>228</v>
      </c>
      <c r="Q12" s="13"/>
      <c r="R12" s="13"/>
      <c r="S12" s="13"/>
      <c r="T12" s="13"/>
      <c r="U12" s="13"/>
      <c r="V12" s="13" t="s">
        <v>228</v>
      </c>
      <c r="W12" s="13" t="s">
        <v>228</v>
      </c>
      <c r="X12" s="13"/>
      <c r="Y12" s="13" t="s">
        <v>3375</v>
      </c>
      <c r="Z12" s="13"/>
      <c r="AA12" s="17" t="s">
        <v>3376</v>
      </c>
      <c r="AB12" s="13" t="s">
        <v>228</v>
      </c>
      <c r="AC12" s="13"/>
      <c r="AD12" s="13" t="s">
        <v>228</v>
      </c>
      <c r="AE12" s="13" t="s">
        <v>228</v>
      </c>
      <c r="AF12" t="s">
        <v>3377</v>
      </c>
    </row>
    <row r="13" spans="1:32" ht="36" customHeight="1" x14ac:dyDescent="0.25">
      <c r="A13" s="14" t="s">
        <v>3378</v>
      </c>
      <c r="B13" s="13" t="s">
        <v>3379</v>
      </c>
      <c r="C13" s="13"/>
      <c r="D13" s="13"/>
      <c r="E13" s="13" t="s">
        <v>3372</v>
      </c>
      <c r="F13" s="13"/>
      <c r="G13" s="13" t="s">
        <v>3380</v>
      </c>
      <c r="H13" s="13"/>
      <c r="I13" s="13" t="s">
        <v>228</v>
      </c>
      <c r="J13" s="13"/>
      <c r="K13" s="13" t="s">
        <v>228</v>
      </c>
      <c r="L13" s="13" t="s">
        <v>228</v>
      </c>
      <c r="M13" s="13" t="s">
        <v>3374</v>
      </c>
      <c r="N13" s="13"/>
      <c r="O13" s="13" t="s">
        <v>228</v>
      </c>
      <c r="P13" s="13" t="s">
        <v>228</v>
      </c>
      <c r="Q13" s="13"/>
      <c r="R13" s="13"/>
      <c r="S13" s="13"/>
      <c r="T13" s="13"/>
      <c r="U13" s="13"/>
      <c r="V13" s="13" t="s">
        <v>228</v>
      </c>
      <c r="W13" s="13" t="s">
        <v>228</v>
      </c>
      <c r="X13" s="13"/>
      <c r="Y13" s="13" t="s">
        <v>3381</v>
      </c>
      <c r="Z13" s="13" t="s">
        <v>3382</v>
      </c>
      <c r="AA13" s="17"/>
      <c r="AB13" s="13" t="s">
        <v>228</v>
      </c>
      <c r="AC13" s="13"/>
      <c r="AD13" s="13" t="s">
        <v>228</v>
      </c>
      <c r="AE13" s="13" t="s">
        <v>228</v>
      </c>
      <c r="AF13" t="s">
        <v>3383</v>
      </c>
    </row>
    <row r="14" spans="1:32" ht="36" customHeight="1" x14ac:dyDescent="0.25">
      <c r="A14" s="14" t="s">
        <v>3384</v>
      </c>
      <c r="B14" s="13" t="s">
        <v>3385</v>
      </c>
      <c r="C14" s="13" t="s">
        <v>225</v>
      </c>
      <c r="D14" s="13" t="s">
        <v>3386</v>
      </c>
      <c r="E14" s="13" t="s">
        <v>225</v>
      </c>
      <c r="F14" s="13" t="s">
        <v>225</v>
      </c>
      <c r="G14" s="13" t="s">
        <v>3387</v>
      </c>
      <c r="H14" s="13" t="s">
        <v>225</v>
      </c>
      <c r="I14" s="13" t="s">
        <v>225</v>
      </c>
      <c r="J14" s="13"/>
      <c r="K14" s="13" t="s">
        <v>225</v>
      </c>
      <c r="L14" s="13" t="s">
        <v>225</v>
      </c>
      <c r="M14" s="13" t="s">
        <v>225</v>
      </c>
      <c r="N14" s="13" t="s">
        <v>225</v>
      </c>
      <c r="O14" s="13" t="s">
        <v>225</v>
      </c>
      <c r="P14" s="13" t="s">
        <v>225</v>
      </c>
      <c r="Q14" s="13" t="s">
        <v>225</v>
      </c>
      <c r="R14" s="13" t="s">
        <v>225</v>
      </c>
      <c r="S14" s="13" t="s">
        <v>225</v>
      </c>
      <c r="T14" s="13" t="s">
        <v>225</v>
      </c>
      <c r="U14" s="13" t="s">
        <v>225</v>
      </c>
      <c r="V14" s="13" t="s">
        <v>225</v>
      </c>
      <c r="W14" s="13" t="s">
        <v>225</v>
      </c>
      <c r="X14" s="13" t="s">
        <v>3388</v>
      </c>
      <c r="Y14" s="13" t="s">
        <v>3389</v>
      </c>
      <c r="Z14" s="13" t="s">
        <v>3390</v>
      </c>
      <c r="AA14" s="17" t="s">
        <v>3391</v>
      </c>
      <c r="AB14" s="13" t="s">
        <v>225</v>
      </c>
      <c r="AC14" s="13" t="s">
        <v>225</v>
      </c>
      <c r="AD14" s="13" t="s">
        <v>225</v>
      </c>
      <c r="AE14" s="13" t="s">
        <v>225</v>
      </c>
      <c r="AF14" t="s">
        <v>3392</v>
      </c>
    </row>
    <row r="15" spans="1:32" ht="36" customHeight="1" x14ac:dyDescent="0.25">
      <c r="A15" s="14" t="s">
        <v>3393</v>
      </c>
      <c r="B15" s="13" t="s">
        <v>3394</v>
      </c>
      <c r="C15" s="13" t="s">
        <v>3395</v>
      </c>
      <c r="D15" s="13" t="s">
        <v>3396</v>
      </c>
      <c r="E15" s="13" t="s">
        <v>3397</v>
      </c>
      <c r="F15" s="13" t="s">
        <v>3398</v>
      </c>
      <c r="G15" s="13" t="s">
        <v>3399</v>
      </c>
      <c r="H15" s="13" t="s">
        <v>3400</v>
      </c>
      <c r="I15" s="13" t="s">
        <v>3401</v>
      </c>
      <c r="J15" s="13" t="s">
        <v>3402</v>
      </c>
      <c r="K15" s="13" t="s">
        <v>3403</v>
      </c>
      <c r="L15" s="13" t="s">
        <v>3404</v>
      </c>
      <c r="M15" s="13" t="s">
        <v>3405</v>
      </c>
      <c r="N15" s="13" t="s">
        <v>3406</v>
      </c>
      <c r="O15" s="13" t="s">
        <v>3407</v>
      </c>
      <c r="P15" s="13" t="s">
        <v>3407</v>
      </c>
      <c r="Q15" s="13"/>
      <c r="R15" s="13"/>
      <c r="S15" s="13"/>
      <c r="T15" s="13" t="s">
        <v>3408</v>
      </c>
      <c r="U15" s="13" t="s">
        <v>3409</v>
      </c>
      <c r="V15" s="13" t="s">
        <v>3407</v>
      </c>
      <c r="W15" s="13" t="s">
        <v>225</v>
      </c>
      <c r="X15" s="13" t="s">
        <v>3410</v>
      </c>
      <c r="Y15" s="13" t="s">
        <v>3411</v>
      </c>
      <c r="Z15" s="13" t="s">
        <v>3412</v>
      </c>
      <c r="AA15" s="17" t="s">
        <v>3413</v>
      </c>
      <c r="AB15" s="13" t="s">
        <v>225</v>
      </c>
      <c r="AC15" s="13" t="s">
        <v>3414</v>
      </c>
      <c r="AD15" s="13" t="s">
        <v>3407</v>
      </c>
      <c r="AE15" s="13" t="s">
        <v>3407</v>
      </c>
      <c r="AF15" t="s">
        <v>3415</v>
      </c>
    </row>
    <row r="16" spans="1:32" ht="36" customHeight="1" x14ac:dyDescent="0.25">
      <c r="A16" s="14" t="s">
        <v>3416</v>
      </c>
      <c r="B16" s="13" t="s">
        <v>3417</v>
      </c>
      <c r="C16" s="13" t="s">
        <v>3418</v>
      </c>
      <c r="D16" s="13" t="s">
        <v>3419</v>
      </c>
      <c r="E16" s="13" t="s">
        <v>3420</v>
      </c>
      <c r="F16" s="13" t="s">
        <v>3421</v>
      </c>
      <c r="G16" s="13" t="s">
        <v>3422</v>
      </c>
      <c r="H16" s="13" t="s">
        <v>225</v>
      </c>
      <c r="I16" s="13"/>
      <c r="J16" s="13"/>
      <c r="K16" s="13"/>
      <c r="L16" s="13" t="s">
        <v>3423</v>
      </c>
      <c r="M16" s="13"/>
      <c r="N16" s="13"/>
      <c r="O16" s="13"/>
      <c r="P16" s="13"/>
      <c r="Q16" s="13"/>
      <c r="R16" s="13" t="s">
        <v>3424</v>
      </c>
      <c r="S16" s="13"/>
      <c r="T16" s="13" t="s">
        <v>3425</v>
      </c>
      <c r="U16" s="13"/>
      <c r="V16" s="13" t="s">
        <v>225</v>
      </c>
      <c r="W16" s="13"/>
      <c r="X16" s="13"/>
      <c r="Y16" s="13"/>
      <c r="Z16" s="13"/>
      <c r="AA16" s="17" t="s">
        <v>3426</v>
      </c>
      <c r="AB16" s="13"/>
      <c r="AC16" s="13" t="s">
        <v>3424</v>
      </c>
      <c r="AD16" s="13"/>
      <c r="AE16" s="13"/>
      <c r="AF16" t="s">
        <v>3427</v>
      </c>
    </row>
    <row r="17" spans="1:32" ht="36" customHeight="1" x14ac:dyDescent="0.25">
      <c r="A17" s="14" t="s">
        <v>3428</v>
      </c>
      <c r="B17" s="13" t="s">
        <v>3429</v>
      </c>
      <c r="C17" s="13" t="s">
        <v>3430</v>
      </c>
      <c r="D17" s="13" t="s">
        <v>3431</v>
      </c>
      <c r="E17" s="13" t="s">
        <v>3432</v>
      </c>
      <c r="F17" s="13" t="s">
        <v>3433</v>
      </c>
      <c r="G17" s="13" t="s">
        <v>3434</v>
      </c>
      <c r="H17" s="13" t="s">
        <v>3435</v>
      </c>
      <c r="I17" s="13" t="s">
        <v>3436</v>
      </c>
      <c r="J17" s="13"/>
      <c r="K17" s="13" t="s">
        <v>3437</v>
      </c>
      <c r="L17" s="13" t="s">
        <v>3438</v>
      </c>
      <c r="M17" s="13" t="s">
        <v>3439</v>
      </c>
      <c r="N17" s="13" t="s">
        <v>3440</v>
      </c>
      <c r="O17" s="13" t="s">
        <v>3441</v>
      </c>
      <c r="P17" s="13" t="s">
        <v>3442</v>
      </c>
      <c r="Q17" s="13" t="s">
        <v>3443</v>
      </c>
      <c r="R17" s="13" t="s">
        <v>3444</v>
      </c>
      <c r="S17" s="13" t="s">
        <v>3445</v>
      </c>
      <c r="T17" s="13" t="s">
        <v>3446</v>
      </c>
      <c r="U17" s="13" t="s">
        <v>3447</v>
      </c>
      <c r="V17" s="13" t="s">
        <v>3448</v>
      </c>
      <c r="W17" s="13" t="s">
        <v>3449</v>
      </c>
      <c r="X17" s="13"/>
      <c r="Y17" s="13"/>
      <c r="Z17" s="13" t="s">
        <v>3450</v>
      </c>
      <c r="AA17" s="17" t="s">
        <v>3451</v>
      </c>
      <c r="AB17" s="13" t="s">
        <v>3452</v>
      </c>
      <c r="AC17" s="13" t="s">
        <v>3453</v>
      </c>
      <c r="AD17" s="13" t="s">
        <v>3454</v>
      </c>
      <c r="AE17" s="13" t="s">
        <v>3455</v>
      </c>
      <c r="AF17" t="s">
        <v>3456</v>
      </c>
    </row>
    <row r="18" spans="1:32" ht="23.1" customHeight="1" x14ac:dyDescent="0.25">
      <c r="A18" s="15" t="s">
        <v>3457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</row>
    <row r="19" spans="1:32" ht="36" customHeight="1" x14ac:dyDescent="0.25">
      <c r="A19" s="14" t="s">
        <v>3458</v>
      </c>
      <c r="B19" s="13" t="s">
        <v>3459</v>
      </c>
      <c r="C19" s="13"/>
      <c r="D19" s="13"/>
      <c r="E19" s="13"/>
      <c r="F19" s="13"/>
      <c r="G19" s="13" t="s">
        <v>3460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5854</v>
      </c>
      <c r="AB19" s="13"/>
      <c r="AC19" s="13"/>
      <c r="AD19" s="13"/>
      <c r="AE19" s="13"/>
      <c r="AF19" t="s">
        <v>3461</v>
      </c>
    </row>
    <row r="20" spans="1:32" ht="36" customHeight="1" x14ac:dyDescent="0.25">
      <c r="A20" s="14" t="s">
        <v>3462</v>
      </c>
      <c r="B20" s="13" t="s">
        <v>3463</v>
      </c>
      <c r="C20" s="13"/>
      <c r="D20" s="13"/>
      <c r="E20" s="13"/>
      <c r="F20" s="13"/>
      <c r="G20" s="13" t="s">
        <v>3464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/>
      <c r="AB20" s="13"/>
      <c r="AC20" s="13"/>
      <c r="AD20" s="13"/>
      <c r="AE20" s="13"/>
      <c r="AF20" t="s">
        <v>3465</v>
      </c>
    </row>
    <row r="21" spans="1:32" ht="36" customHeight="1" x14ac:dyDescent="0.25">
      <c r="A21" s="14" t="s">
        <v>3466</v>
      </c>
      <c r="B21" s="13" t="s">
        <v>3467</v>
      </c>
      <c r="C21" s="13"/>
      <c r="D21" s="13"/>
      <c r="E21" s="13"/>
      <c r="F21" s="13"/>
      <c r="G21" s="13" t="s">
        <v>3468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/>
      <c r="AB21" s="13"/>
      <c r="AC21" s="13"/>
      <c r="AD21" s="13"/>
      <c r="AE21" s="13"/>
      <c r="AF21" t="s">
        <v>3469</v>
      </c>
    </row>
    <row r="22" spans="1:32" ht="36" customHeight="1" x14ac:dyDescent="0.25">
      <c r="A22" s="14" t="s">
        <v>3470</v>
      </c>
      <c r="B22" s="13" t="s">
        <v>3471</v>
      </c>
      <c r="C22" s="13"/>
      <c r="D22" s="13"/>
      <c r="E22" s="13"/>
      <c r="F22" s="13"/>
      <c r="G22" s="13" t="s">
        <v>3472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/>
      <c r="AB22" s="13"/>
      <c r="AC22" s="13"/>
      <c r="AD22" s="13"/>
      <c r="AE22" s="13"/>
      <c r="AF22" t="s">
        <v>3473</v>
      </c>
    </row>
  </sheetData>
  <mergeCells count="1">
    <mergeCell ref="A1:A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40"/>
  <sheetViews>
    <sheetView workbookViewId="0">
      <pane xSplit="2" ySplit="2" topLeftCell="X27" activePane="bottomRight" state="frozen"/>
      <selection pane="topRight" activeCell="C1" sqref="C1"/>
      <selection pane="bottomLeft" activeCell="A3" sqref="A3"/>
      <selection pane="bottomRight" activeCell="AA20" sqref="AA20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Directory'!A1","Encryption &amp; Privacy — Atomic Matrix"),"Encryption &amp; Privacy — Atomic Matrix")</f>
        <v>Encryption &amp; Privacy — Atomic Matrix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3474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3475</v>
      </c>
      <c r="B4" s="13"/>
      <c r="C4" s="13" t="s">
        <v>3180</v>
      </c>
      <c r="D4" s="13" t="s">
        <v>3180</v>
      </c>
      <c r="E4" s="13" t="s">
        <v>3181</v>
      </c>
      <c r="F4" s="13" t="s">
        <v>3180</v>
      </c>
      <c r="G4" s="13" t="s">
        <v>3182</v>
      </c>
      <c r="H4" s="13" t="s">
        <v>3183</v>
      </c>
      <c r="I4" s="13" t="s">
        <v>3184</v>
      </c>
      <c r="J4" s="13" t="s">
        <v>3185</v>
      </c>
      <c r="K4" s="13" t="s">
        <v>3180</v>
      </c>
      <c r="L4" s="13" t="s">
        <v>3186</v>
      </c>
      <c r="M4" s="13" t="s">
        <v>3187</v>
      </c>
      <c r="N4" s="13" t="s">
        <v>3180</v>
      </c>
      <c r="O4" s="13" t="s">
        <v>3180</v>
      </c>
      <c r="P4" s="13" t="s">
        <v>3188</v>
      </c>
      <c r="Q4" s="13" t="s">
        <v>3189</v>
      </c>
      <c r="R4" s="13" t="s">
        <v>3189</v>
      </c>
      <c r="S4" s="13" t="s">
        <v>3189</v>
      </c>
      <c r="T4" s="13" t="s">
        <v>3189</v>
      </c>
      <c r="U4" s="13" t="s">
        <v>3189</v>
      </c>
      <c r="V4" s="13" t="s">
        <v>3190</v>
      </c>
      <c r="W4" s="13" t="s">
        <v>3189</v>
      </c>
      <c r="X4" s="13" t="s">
        <v>3191</v>
      </c>
      <c r="Y4" s="13" t="s">
        <v>3192</v>
      </c>
      <c r="Z4" s="13" t="s">
        <v>3193</v>
      </c>
      <c r="AA4" s="17" t="s">
        <v>3189</v>
      </c>
      <c r="AB4" s="13" t="s">
        <v>3189</v>
      </c>
      <c r="AC4" s="13" t="s">
        <v>3189</v>
      </c>
      <c r="AD4" s="13" t="s">
        <v>3189</v>
      </c>
      <c r="AE4" s="13" t="s">
        <v>3189</v>
      </c>
      <c r="AF4" t="s">
        <v>3194</v>
      </c>
    </row>
    <row r="5" spans="1:32" ht="36" customHeight="1" x14ac:dyDescent="0.25">
      <c r="A5" s="14" t="s">
        <v>3476</v>
      </c>
      <c r="B5" s="13" t="s">
        <v>215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7"/>
      <c r="AB5" s="13"/>
      <c r="AC5" s="13"/>
      <c r="AD5" s="13"/>
      <c r="AE5" s="13"/>
      <c r="AF5" t="s">
        <v>3477</v>
      </c>
    </row>
    <row r="6" spans="1:32" ht="36" customHeight="1" x14ac:dyDescent="0.25">
      <c r="A6" s="14" t="s">
        <v>3271</v>
      </c>
      <c r="B6" s="13" t="s">
        <v>215</v>
      </c>
      <c r="C6" s="13"/>
      <c r="D6" s="13"/>
      <c r="E6" s="13" t="s">
        <v>215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 t="s">
        <v>215</v>
      </c>
      <c r="AB6" s="13"/>
      <c r="AC6" s="13"/>
      <c r="AD6" s="13"/>
      <c r="AE6" s="13"/>
      <c r="AF6" t="s">
        <v>3272</v>
      </c>
    </row>
    <row r="7" spans="1:32" ht="23.1" customHeight="1" x14ac:dyDescent="0.25">
      <c r="A7" s="15" t="s">
        <v>3478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5"/>
      <c r="AC7" s="15"/>
      <c r="AD7" s="15"/>
      <c r="AE7" s="15"/>
      <c r="AF7" t="s">
        <v>3196</v>
      </c>
    </row>
    <row r="8" spans="1:32" ht="36" customHeight="1" x14ac:dyDescent="0.25">
      <c r="A8" s="14" t="s">
        <v>3479</v>
      </c>
      <c r="B8" s="13" t="s">
        <v>630</v>
      </c>
      <c r="C8" s="13" t="s">
        <v>631</v>
      </c>
      <c r="D8" s="13" t="s">
        <v>215</v>
      </c>
      <c r="E8" s="13" t="s">
        <v>225</v>
      </c>
      <c r="F8" s="13" t="s">
        <v>632</v>
      </c>
      <c r="G8" s="13" t="s">
        <v>633</v>
      </c>
      <c r="H8" s="13" t="s">
        <v>634</v>
      </c>
      <c r="I8" s="13" t="s">
        <v>228</v>
      </c>
      <c r="J8" s="13"/>
      <c r="K8" s="13" t="s">
        <v>225</v>
      </c>
      <c r="L8" s="13" t="s">
        <v>225</v>
      </c>
      <c r="M8" s="13" t="s">
        <v>635</v>
      </c>
      <c r="N8" s="13" t="s">
        <v>225</v>
      </c>
      <c r="O8" s="13" t="s">
        <v>631</v>
      </c>
      <c r="P8" s="13" t="s">
        <v>225</v>
      </c>
      <c r="Q8" s="13"/>
      <c r="R8" s="13" t="s">
        <v>636</v>
      </c>
      <c r="S8" s="13" t="s">
        <v>209</v>
      </c>
      <c r="T8" s="13"/>
      <c r="U8" s="13"/>
      <c r="V8" s="13" t="s">
        <v>225</v>
      </c>
      <c r="W8" s="13" t="s">
        <v>631</v>
      </c>
      <c r="X8" s="13" t="s">
        <v>215</v>
      </c>
      <c r="Y8" s="13" t="s">
        <v>215</v>
      </c>
      <c r="Z8" s="13" t="s">
        <v>637</v>
      </c>
      <c r="AA8" s="17" t="s">
        <v>638</v>
      </c>
      <c r="AB8" s="13" t="s">
        <v>218</v>
      </c>
      <c r="AC8" s="13" t="s">
        <v>194</v>
      </c>
      <c r="AD8" s="13" t="s">
        <v>219</v>
      </c>
      <c r="AE8" s="13" t="s">
        <v>225</v>
      </c>
      <c r="AF8" t="s">
        <v>3196</v>
      </c>
    </row>
    <row r="9" spans="1:32" ht="36" customHeight="1" x14ac:dyDescent="0.25">
      <c r="A9" s="14" t="s">
        <v>3480</v>
      </c>
      <c r="B9" s="13" t="s">
        <v>630</v>
      </c>
      <c r="C9" s="13" t="s">
        <v>631</v>
      </c>
      <c r="D9" s="13"/>
      <c r="E9" s="13" t="s">
        <v>225</v>
      </c>
      <c r="F9" s="13" t="s">
        <v>3302</v>
      </c>
      <c r="G9" s="13" t="s">
        <v>3303</v>
      </c>
      <c r="H9" s="13" t="s">
        <v>634</v>
      </c>
      <c r="I9" s="13" t="s">
        <v>228</v>
      </c>
      <c r="J9" s="13"/>
      <c r="K9" s="13" t="s">
        <v>225</v>
      </c>
      <c r="L9" s="13" t="s">
        <v>225</v>
      </c>
      <c r="M9" s="13" t="s">
        <v>3304</v>
      </c>
      <c r="N9" s="13" t="s">
        <v>225</v>
      </c>
      <c r="O9" s="13" t="s">
        <v>225</v>
      </c>
      <c r="P9" s="13" t="s">
        <v>225</v>
      </c>
      <c r="Q9" s="13"/>
      <c r="R9" s="13"/>
      <c r="S9" s="13" t="s">
        <v>209</v>
      </c>
      <c r="T9" s="13"/>
      <c r="U9" s="13"/>
      <c r="V9" s="13" t="s">
        <v>225</v>
      </c>
      <c r="W9" s="13" t="s">
        <v>225</v>
      </c>
      <c r="X9" s="13" t="s">
        <v>215</v>
      </c>
      <c r="Y9" s="13" t="s">
        <v>215</v>
      </c>
      <c r="Z9" s="13"/>
      <c r="AA9" s="17" t="s">
        <v>3481</v>
      </c>
      <c r="AB9" s="13" t="s">
        <v>225</v>
      </c>
      <c r="AC9" s="13" t="s">
        <v>225</v>
      </c>
      <c r="AD9" s="13" t="s">
        <v>225</v>
      </c>
      <c r="AE9" s="13" t="s">
        <v>225</v>
      </c>
      <c r="AF9" t="s">
        <v>3196</v>
      </c>
    </row>
    <row r="10" spans="1:32" ht="36" customHeight="1" x14ac:dyDescent="0.25">
      <c r="A10" s="14" t="s">
        <v>3482</v>
      </c>
      <c r="B10" s="13" t="s">
        <v>630</v>
      </c>
      <c r="C10" s="13" t="s">
        <v>225</v>
      </c>
      <c r="D10" s="13" t="s">
        <v>225</v>
      </c>
      <c r="E10" s="13" t="s">
        <v>225</v>
      </c>
      <c r="F10" s="13" t="s">
        <v>3302</v>
      </c>
      <c r="G10" s="13" t="s">
        <v>3303</v>
      </c>
      <c r="H10" s="13" t="s">
        <v>634</v>
      </c>
      <c r="I10" s="13" t="s">
        <v>228</v>
      </c>
      <c r="J10" s="13"/>
      <c r="K10" s="13" t="s">
        <v>225</v>
      </c>
      <c r="L10" s="13" t="s">
        <v>225</v>
      </c>
      <c r="M10" s="13" t="s">
        <v>3307</v>
      </c>
      <c r="N10" s="13" t="s">
        <v>225</v>
      </c>
      <c r="O10" s="13" t="s">
        <v>225</v>
      </c>
      <c r="P10" s="13" t="s">
        <v>225</v>
      </c>
      <c r="Q10" s="13"/>
      <c r="R10" s="13" t="s">
        <v>636</v>
      </c>
      <c r="S10" s="13"/>
      <c r="T10" s="13"/>
      <c r="U10" s="13"/>
      <c r="V10" s="13" t="s">
        <v>225</v>
      </c>
      <c r="W10" s="13" t="s">
        <v>225</v>
      </c>
      <c r="X10" s="13" t="s">
        <v>215</v>
      </c>
      <c r="Y10" s="13" t="s">
        <v>3308</v>
      </c>
      <c r="Z10" s="13" t="s">
        <v>3309</v>
      </c>
      <c r="AA10" s="17" t="s">
        <v>3483</v>
      </c>
      <c r="AB10" s="13" t="s">
        <v>225</v>
      </c>
      <c r="AC10" s="13" t="s">
        <v>225</v>
      </c>
      <c r="AD10" s="13" t="s">
        <v>225</v>
      </c>
      <c r="AE10" s="13" t="s">
        <v>225</v>
      </c>
      <c r="AF10" t="s">
        <v>3196</v>
      </c>
    </row>
    <row r="11" spans="1:32" ht="36" customHeight="1" x14ac:dyDescent="0.25">
      <c r="A11" s="14" t="s">
        <v>3484</v>
      </c>
      <c r="B11" s="13" t="s">
        <v>225</v>
      </c>
      <c r="C11" s="13"/>
      <c r="D11" s="13" t="s">
        <v>225</v>
      </c>
      <c r="E11" s="13" t="s">
        <v>225</v>
      </c>
      <c r="F11" s="13" t="s">
        <v>225</v>
      </c>
      <c r="G11" s="13" t="s">
        <v>3485</v>
      </c>
      <c r="H11" s="13"/>
      <c r="I11" s="13"/>
      <c r="J11" s="13"/>
      <c r="K11" s="13" t="s">
        <v>225</v>
      </c>
      <c r="L11" s="13" t="s">
        <v>225</v>
      </c>
      <c r="M11" s="13" t="s">
        <v>3485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 t="s">
        <v>3485</v>
      </c>
      <c r="Z11" s="13"/>
      <c r="AA11" s="17" t="s">
        <v>225</v>
      </c>
      <c r="AB11" s="13"/>
      <c r="AC11" s="13"/>
      <c r="AD11" s="13"/>
      <c r="AE11" s="13"/>
      <c r="AF11" t="s">
        <v>3196</v>
      </c>
    </row>
    <row r="12" spans="1:32" ht="36" customHeight="1" x14ac:dyDescent="0.25">
      <c r="A12" s="14" t="s">
        <v>3486</v>
      </c>
      <c r="B12" s="13" t="s">
        <v>3327</v>
      </c>
      <c r="C12" s="13"/>
      <c r="D12" s="13" t="s">
        <v>3328</v>
      </c>
      <c r="E12" s="13" t="s">
        <v>3329</v>
      </c>
      <c r="F12" s="13" t="s">
        <v>3330</v>
      </c>
      <c r="G12" s="13" t="s">
        <v>3331</v>
      </c>
      <c r="H12" s="13" t="s">
        <v>3332</v>
      </c>
      <c r="I12" s="13" t="s">
        <v>3333</v>
      </c>
      <c r="J12" s="13"/>
      <c r="K12" s="13" t="s">
        <v>3334</v>
      </c>
      <c r="L12" s="13" t="s">
        <v>3335</v>
      </c>
      <c r="M12" s="13" t="s">
        <v>3336</v>
      </c>
      <c r="N12" s="13" t="s">
        <v>3337</v>
      </c>
      <c r="O12" s="13"/>
      <c r="P12" s="13" t="s">
        <v>3333</v>
      </c>
      <c r="Q12" s="13" t="s">
        <v>3338</v>
      </c>
      <c r="R12" s="13" t="s">
        <v>3339</v>
      </c>
      <c r="S12" s="13" t="s">
        <v>3340</v>
      </c>
      <c r="T12" s="13" t="s">
        <v>3341</v>
      </c>
      <c r="U12" s="13" t="s">
        <v>3342</v>
      </c>
      <c r="V12" s="13" t="s">
        <v>212</v>
      </c>
      <c r="W12" s="13" t="s">
        <v>3343</v>
      </c>
      <c r="X12" s="13" t="s">
        <v>3344</v>
      </c>
      <c r="Y12" s="13" t="s">
        <v>3345</v>
      </c>
      <c r="Z12" s="13" t="s">
        <v>3346</v>
      </c>
      <c r="AA12" s="17" t="s">
        <v>3487</v>
      </c>
      <c r="AB12" s="13" t="s">
        <v>3333</v>
      </c>
      <c r="AC12" s="13"/>
      <c r="AD12" s="13" t="s">
        <v>3348</v>
      </c>
      <c r="AE12" s="13" t="s">
        <v>3333</v>
      </c>
      <c r="AF12" t="s">
        <v>3349</v>
      </c>
    </row>
    <row r="13" spans="1:32" ht="36" customHeight="1" x14ac:dyDescent="0.25">
      <c r="A13" s="14" t="s">
        <v>3273</v>
      </c>
      <c r="B13" s="13" t="s">
        <v>3274</v>
      </c>
      <c r="C13" s="13" t="s">
        <v>3275</v>
      </c>
      <c r="D13" s="13" t="s">
        <v>3276</v>
      </c>
      <c r="E13" s="13" t="s">
        <v>215</v>
      </c>
      <c r="F13" s="13" t="s">
        <v>3277</v>
      </c>
      <c r="G13" s="13" t="s">
        <v>3278</v>
      </c>
      <c r="H13" s="13" t="s">
        <v>3279</v>
      </c>
      <c r="I13" s="13" t="s">
        <v>3280</v>
      </c>
      <c r="J13" s="13"/>
      <c r="K13" s="13" t="s">
        <v>215</v>
      </c>
      <c r="L13" s="13" t="s">
        <v>215</v>
      </c>
      <c r="M13" s="13" t="s">
        <v>3281</v>
      </c>
      <c r="N13" s="13" t="s">
        <v>3282</v>
      </c>
      <c r="O13" s="13" t="s">
        <v>3283</v>
      </c>
      <c r="P13" s="13" t="s">
        <v>3274</v>
      </c>
      <c r="Q13" s="13" t="s">
        <v>3284</v>
      </c>
      <c r="R13" s="13" t="s">
        <v>3285</v>
      </c>
      <c r="S13" s="13"/>
      <c r="T13" s="13" t="s">
        <v>3286</v>
      </c>
      <c r="U13" s="13" t="s">
        <v>3287</v>
      </c>
      <c r="V13" s="13" t="s">
        <v>215</v>
      </c>
      <c r="W13" s="13" t="s">
        <v>3288</v>
      </c>
      <c r="X13" s="13" t="s">
        <v>3289</v>
      </c>
      <c r="Y13" s="13" t="s">
        <v>3290</v>
      </c>
      <c r="Z13" s="13" t="s">
        <v>3291</v>
      </c>
      <c r="AA13" s="17" t="s">
        <v>3292</v>
      </c>
      <c r="AB13" s="13" t="s">
        <v>3283</v>
      </c>
      <c r="AC13" s="13" t="s">
        <v>3274</v>
      </c>
      <c r="AD13" s="13" t="s">
        <v>215</v>
      </c>
      <c r="AE13" s="13" t="s">
        <v>215</v>
      </c>
      <c r="AF13" t="s">
        <v>3293</v>
      </c>
    </row>
    <row r="14" spans="1:32" ht="23.1" customHeight="1" x14ac:dyDescent="0.25">
      <c r="A14" s="15" t="s">
        <v>3488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15"/>
      <c r="AC14" s="15"/>
      <c r="AD14" s="15"/>
      <c r="AE14" s="15"/>
    </row>
    <row r="15" spans="1:32" ht="36" customHeight="1" x14ac:dyDescent="0.25">
      <c r="A15" s="14" t="s">
        <v>3489</v>
      </c>
      <c r="B15" s="13" t="s">
        <v>3312</v>
      </c>
      <c r="C15" s="13"/>
      <c r="D15" s="13"/>
      <c r="E15" s="13" t="s">
        <v>494</v>
      </c>
      <c r="F15" s="13" t="s">
        <v>3313</v>
      </c>
      <c r="G15" s="13" t="s">
        <v>3314</v>
      </c>
      <c r="H15" s="13"/>
      <c r="I15" s="13" t="s">
        <v>3315</v>
      </c>
      <c r="J15" s="13"/>
      <c r="K15" s="13" t="s">
        <v>3209</v>
      </c>
      <c r="L15" s="13" t="s">
        <v>3316</v>
      </c>
      <c r="M15" s="13" t="s">
        <v>1818</v>
      </c>
      <c r="N15" s="13" t="s">
        <v>3317</v>
      </c>
      <c r="O15" s="13"/>
      <c r="P15" s="13" t="s">
        <v>3318</v>
      </c>
      <c r="Q15" s="13"/>
      <c r="R15" s="13"/>
      <c r="S15" s="13" t="s">
        <v>209</v>
      </c>
      <c r="T15" s="13"/>
      <c r="U15" s="13"/>
      <c r="V15" s="13" t="s">
        <v>494</v>
      </c>
      <c r="W15" s="13" t="s">
        <v>228</v>
      </c>
      <c r="X15" s="13"/>
      <c r="Y15" s="13" t="s">
        <v>3319</v>
      </c>
      <c r="Z15" s="13"/>
      <c r="AA15" s="17" t="s">
        <v>3320</v>
      </c>
      <c r="AB15" s="13"/>
      <c r="AC15" s="13"/>
      <c r="AD15" s="13"/>
      <c r="AE15" s="13"/>
      <c r="AF15" t="s">
        <v>3215</v>
      </c>
    </row>
    <row r="16" spans="1:32" ht="36" customHeight="1" x14ac:dyDescent="0.25">
      <c r="A16" s="14" t="s">
        <v>3490</v>
      </c>
      <c r="B16" s="13" t="s">
        <v>3312</v>
      </c>
      <c r="C16" s="13"/>
      <c r="D16" s="13"/>
      <c r="E16" s="13" t="s">
        <v>494</v>
      </c>
      <c r="F16" s="13" t="s">
        <v>218</v>
      </c>
      <c r="G16" s="13" t="s">
        <v>3314</v>
      </c>
      <c r="H16" s="13"/>
      <c r="I16" s="13" t="s">
        <v>228</v>
      </c>
      <c r="J16" s="13"/>
      <c r="K16" s="13" t="s">
        <v>3209</v>
      </c>
      <c r="L16" s="13" t="s">
        <v>3322</v>
      </c>
      <c r="M16" s="13" t="s">
        <v>1818</v>
      </c>
      <c r="N16" s="13"/>
      <c r="O16" s="13"/>
      <c r="P16" s="13" t="s">
        <v>3318</v>
      </c>
      <c r="Q16" s="13"/>
      <c r="R16" s="13"/>
      <c r="S16" s="13" t="s">
        <v>209</v>
      </c>
      <c r="T16" s="13"/>
      <c r="U16" s="13"/>
      <c r="V16" s="13" t="s">
        <v>494</v>
      </c>
      <c r="W16" s="13" t="s">
        <v>228</v>
      </c>
      <c r="X16" s="13"/>
      <c r="Y16" s="13" t="s">
        <v>3319</v>
      </c>
      <c r="Z16" s="13"/>
      <c r="AA16" s="17" t="s">
        <v>3320</v>
      </c>
      <c r="AB16" s="13"/>
      <c r="AC16" s="13"/>
      <c r="AD16" s="13"/>
      <c r="AE16" s="13"/>
      <c r="AF16" t="s">
        <v>3215</v>
      </c>
    </row>
    <row r="17" spans="1:32" ht="36" customHeight="1" x14ac:dyDescent="0.25">
      <c r="A17" s="14" t="s">
        <v>3491</v>
      </c>
      <c r="B17" s="13" t="s">
        <v>3324</v>
      </c>
      <c r="C17" s="13"/>
      <c r="D17" s="13"/>
      <c r="E17" s="13" t="s">
        <v>494</v>
      </c>
      <c r="F17" s="13" t="s">
        <v>218</v>
      </c>
      <c r="G17" s="13" t="s">
        <v>3314</v>
      </c>
      <c r="H17" s="13"/>
      <c r="I17" s="13" t="s">
        <v>228</v>
      </c>
      <c r="J17" s="13"/>
      <c r="K17" s="13" t="s">
        <v>3209</v>
      </c>
      <c r="L17" s="13" t="s">
        <v>3322</v>
      </c>
      <c r="M17" s="13" t="s">
        <v>1818</v>
      </c>
      <c r="N17" s="13"/>
      <c r="O17" s="13"/>
      <c r="P17" s="13"/>
      <c r="Q17" s="13"/>
      <c r="R17" s="13"/>
      <c r="S17" s="13"/>
      <c r="T17" s="13"/>
      <c r="U17" s="13"/>
      <c r="V17" s="13" t="s">
        <v>494</v>
      </c>
      <c r="W17" s="13" t="s">
        <v>228</v>
      </c>
      <c r="X17" s="13"/>
      <c r="Y17" s="13"/>
      <c r="Z17" s="13"/>
      <c r="AA17" s="17" t="s">
        <v>3320</v>
      </c>
      <c r="AB17" s="13"/>
      <c r="AC17" s="13"/>
      <c r="AD17" s="13"/>
      <c r="AE17" s="13"/>
      <c r="AF17" t="s">
        <v>3215</v>
      </c>
    </row>
    <row r="18" spans="1:32" ht="23.1" customHeight="1" x14ac:dyDescent="0.25">
      <c r="A18" s="15" t="s">
        <v>3492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  <c r="AF18" t="s">
        <v>3456</v>
      </c>
    </row>
    <row r="19" spans="1:32" ht="36" customHeight="1" x14ac:dyDescent="0.25">
      <c r="A19" s="14" t="s">
        <v>3493</v>
      </c>
      <c r="B19" s="13" t="s">
        <v>225</v>
      </c>
      <c r="C19" s="13" t="s">
        <v>225</v>
      </c>
      <c r="D19" s="13" t="s">
        <v>215</v>
      </c>
      <c r="E19" s="13" t="s">
        <v>225</v>
      </c>
      <c r="F19" s="13" t="s">
        <v>225</v>
      </c>
      <c r="G19" s="13" t="s">
        <v>215</v>
      </c>
      <c r="H19" s="13"/>
      <c r="I19" s="13"/>
      <c r="J19" s="13"/>
      <c r="K19" s="13" t="s">
        <v>225</v>
      </c>
      <c r="L19" s="13" t="s">
        <v>225</v>
      </c>
      <c r="M19" s="13"/>
      <c r="N19" s="13"/>
      <c r="O19" s="13" t="s">
        <v>225</v>
      </c>
      <c r="P19" s="13" t="s">
        <v>225</v>
      </c>
      <c r="Q19" s="13"/>
      <c r="R19" s="13"/>
      <c r="S19" s="13"/>
      <c r="T19" s="13"/>
      <c r="U19" s="13"/>
      <c r="V19" s="13"/>
      <c r="W19" s="13"/>
      <c r="X19" s="13" t="s">
        <v>215</v>
      </c>
      <c r="Y19" s="13" t="s">
        <v>215</v>
      </c>
      <c r="Z19" s="13" t="s">
        <v>215</v>
      </c>
      <c r="AA19" s="17" t="s">
        <v>3494</v>
      </c>
      <c r="AB19" s="13" t="s">
        <v>225</v>
      </c>
      <c r="AC19" s="13" t="s">
        <v>225</v>
      </c>
      <c r="AD19" s="13" t="s">
        <v>225</v>
      </c>
      <c r="AE19" s="13" t="s">
        <v>225</v>
      </c>
      <c r="AF19" t="s">
        <v>3368</v>
      </c>
    </row>
    <row r="20" spans="1:32" ht="36" customHeight="1" x14ac:dyDescent="0.25">
      <c r="A20" s="14" t="s">
        <v>3495</v>
      </c>
      <c r="B20" s="13" t="s">
        <v>3379</v>
      </c>
      <c r="C20" s="13"/>
      <c r="D20" s="13"/>
      <c r="E20" s="13" t="s">
        <v>3372</v>
      </c>
      <c r="F20" s="13"/>
      <c r="G20" s="13" t="s">
        <v>3380</v>
      </c>
      <c r="H20" s="13"/>
      <c r="I20" s="13" t="s">
        <v>228</v>
      </c>
      <c r="J20" s="13"/>
      <c r="K20" s="13" t="s">
        <v>228</v>
      </c>
      <c r="L20" s="13" t="s">
        <v>228</v>
      </c>
      <c r="M20" s="13" t="s">
        <v>3374</v>
      </c>
      <c r="N20" s="13"/>
      <c r="O20" s="13" t="s">
        <v>228</v>
      </c>
      <c r="P20" s="13" t="s">
        <v>228</v>
      </c>
      <c r="Q20" s="13"/>
      <c r="R20" s="13"/>
      <c r="S20" s="13"/>
      <c r="T20" s="13"/>
      <c r="U20" s="13"/>
      <c r="V20" s="13" t="s">
        <v>228</v>
      </c>
      <c r="W20" s="13" t="s">
        <v>228</v>
      </c>
      <c r="X20" s="13"/>
      <c r="Y20" s="13" t="s">
        <v>3381</v>
      </c>
      <c r="Z20" s="13" t="s">
        <v>3382</v>
      </c>
      <c r="AA20" s="17"/>
      <c r="AB20" s="13" t="s">
        <v>228</v>
      </c>
      <c r="AC20" s="13"/>
      <c r="AD20" s="13" t="s">
        <v>228</v>
      </c>
      <c r="AE20" s="13" t="s">
        <v>228</v>
      </c>
      <c r="AF20" t="s">
        <v>3383</v>
      </c>
    </row>
    <row r="21" spans="1:32" ht="36" customHeight="1" x14ac:dyDescent="0.25">
      <c r="A21" s="14" t="s">
        <v>3496</v>
      </c>
      <c r="B21" s="13" t="s">
        <v>3370</v>
      </c>
      <c r="C21" s="13"/>
      <c r="D21" s="13" t="s">
        <v>3371</v>
      </c>
      <c r="E21" s="13" t="s">
        <v>3372</v>
      </c>
      <c r="F21" s="13"/>
      <c r="G21" s="13" t="s">
        <v>3373</v>
      </c>
      <c r="H21" s="13"/>
      <c r="I21" s="13" t="s">
        <v>228</v>
      </c>
      <c r="J21" s="13"/>
      <c r="K21" s="13" t="s">
        <v>228</v>
      </c>
      <c r="L21" s="13" t="s">
        <v>228</v>
      </c>
      <c r="M21" s="13" t="s">
        <v>3374</v>
      </c>
      <c r="N21" s="13"/>
      <c r="O21" s="13" t="s">
        <v>228</v>
      </c>
      <c r="P21" s="13" t="s">
        <v>228</v>
      </c>
      <c r="Q21" s="13"/>
      <c r="R21" s="13"/>
      <c r="S21" s="13"/>
      <c r="T21" s="13"/>
      <c r="U21" s="13"/>
      <c r="V21" s="13" t="s">
        <v>228</v>
      </c>
      <c r="W21" s="13" t="s">
        <v>228</v>
      </c>
      <c r="X21" s="13"/>
      <c r="Y21" s="13" t="s">
        <v>3375</v>
      </c>
      <c r="Z21" s="13"/>
      <c r="AA21" s="17" t="s">
        <v>3497</v>
      </c>
      <c r="AB21" s="13" t="s">
        <v>228</v>
      </c>
      <c r="AC21" s="13"/>
      <c r="AD21" s="13" t="s">
        <v>228</v>
      </c>
      <c r="AE21" s="13" t="s">
        <v>228</v>
      </c>
      <c r="AF21" t="s">
        <v>3377</v>
      </c>
    </row>
    <row r="22" spans="1:32" ht="36" customHeight="1" x14ac:dyDescent="0.25">
      <c r="A22" s="14" t="s">
        <v>3498</v>
      </c>
      <c r="B22" s="13" t="s">
        <v>3385</v>
      </c>
      <c r="C22" s="13" t="s">
        <v>225</v>
      </c>
      <c r="D22" s="13" t="s">
        <v>3386</v>
      </c>
      <c r="E22" s="13" t="s">
        <v>225</v>
      </c>
      <c r="F22" s="13" t="s">
        <v>225</v>
      </c>
      <c r="G22" s="13" t="s">
        <v>3387</v>
      </c>
      <c r="H22" s="13" t="s">
        <v>225</v>
      </c>
      <c r="I22" s="13" t="s">
        <v>225</v>
      </c>
      <c r="J22" s="13"/>
      <c r="K22" s="13" t="s">
        <v>225</v>
      </c>
      <c r="L22" s="13" t="s">
        <v>225</v>
      </c>
      <c r="M22" s="13" t="s">
        <v>225</v>
      </c>
      <c r="N22" s="13" t="s">
        <v>225</v>
      </c>
      <c r="O22" s="13" t="s">
        <v>225</v>
      </c>
      <c r="P22" s="13" t="s">
        <v>225</v>
      </c>
      <c r="Q22" s="13" t="s">
        <v>225</v>
      </c>
      <c r="R22" s="13" t="s">
        <v>225</v>
      </c>
      <c r="S22" s="13" t="s">
        <v>225</v>
      </c>
      <c r="T22" s="13" t="s">
        <v>225</v>
      </c>
      <c r="U22" s="13" t="s">
        <v>225</v>
      </c>
      <c r="V22" s="13" t="s">
        <v>225</v>
      </c>
      <c r="W22" s="13" t="s">
        <v>225</v>
      </c>
      <c r="X22" s="13" t="s">
        <v>3388</v>
      </c>
      <c r="Y22" s="13" t="s">
        <v>3389</v>
      </c>
      <c r="Z22" s="13" t="s">
        <v>3390</v>
      </c>
      <c r="AA22" s="17" t="s">
        <v>3391</v>
      </c>
      <c r="AB22" s="13" t="s">
        <v>225</v>
      </c>
      <c r="AC22" s="13" t="s">
        <v>225</v>
      </c>
      <c r="AD22" s="13" t="s">
        <v>225</v>
      </c>
      <c r="AE22" s="13" t="s">
        <v>225</v>
      </c>
      <c r="AF22" t="s">
        <v>3392</v>
      </c>
    </row>
    <row r="23" spans="1:32" ht="36" customHeight="1" x14ac:dyDescent="0.25">
      <c r="A23" s="14" t="s">
        <v>3499</v>
      </c>
      <c r="B23" s="13" t="s">
        <v>3394</v>
      </c>
      <c r="C23" s="13" t="s">
        <v>3395</v>
      </c>
      <c r="D23" s="13" t="s">
        <v>3396</v>
      </c>
      <c r="E23" s="13" t="s">
        <v>3397</v>
      </c>
      <c r="F23" s="13" t="s">
        <v>3398</v>
      </c>
      <c r="G23" s="13" t="s">
        <v>3399</v>
      </c>
      <c r="H23" s="13" t="s">
        <v>3400</v>
      </c>
      <c r="I23" s="13" t="s">
        <v>3401</v>
      </c>
      <c r="J23" s="13" t="s">
        <v>3402</v>
      </c>
      <c r="K23" s="13" t="s">
        <v>3403</v>
      </c>
      <c r="L23" s="13" t="s">
        <v>3404</v>
      </c>
      <c r="M23" s="13" t="s">
        <v>3405</v>
      </c>
      <c r="N23" s="13" t="s">
        <v>3406</v>
      </c>
      <c r="O23" s="13" t="s">
        <v>3407</v>
      </c>
      <c r="P23" s="13" t="s">
        <v>3407</v>
      </c>
      <c r="Q23" s="13"/>
      <c r="R23" s="13"/>
      <c r="S23" s="13"/>
      <c r="T23" s="13" t="s">
        <v>3408</v>
      </c>
      <c r="U23" s="13" t="s">
        <v>3409</v>
      </c>
      <c r="V23" s="13" t="s">
        <v>3407</v>
      </c>
      <c r="W23" s="13" t="s">
        <v>225</v>
      </c>
      <c r="X23" s="13" t="s">
        <v>3410</v>
      </c>
      <c r="Y23" s="13" t="s">
        <v>3411</v>
      </c>
      <c r="Z23" s="13" t="s">
        <v>3412</v>
      </c>
      <c r="AA23" s="17" t="s">
        <v>3500</v>
      </c>
      <c r="AB23" s="13" t="s">
        <v>225</v>
      </c>
      <c r="AC23" s="13" t="s">
        <v>3414</v>
      </c>
      <c r="AD23" s="13" t="s">
        <v>3407</v>
      </c>
      <c r="AE23" s="13" t="s">
        <v>3407</v>
      </c>
      <c r="AF23" t="s">
        <v>3415</v>
      </c>
    </row>
    <row r="24" spans="1:32" ht="36" customHeight="1" x14ac:dyDescent="0.25">
      <c r="A24" s="14" t="s">
        <v>3501</v>
      </c>
      <c r="B24" s="13" t="s">
        <v>3417</v>
      </c>
      <c r="C24" s="13" t="s">
        <v>3418</v>
      </c>
      <c r="D24" s="13" t="s">
        <v>3419</v>
      </c>
      <c r="E24" s="13" t="s">
        <v>3420</v>
      </c>
      <c r="F24" s="13" t="s">
        <v>3421</v>
      </c>
      <c r="G24" s="13" t="s">
        <v>3422</v>
      </c>
      <c r="H24" s="13" t="s">
        <v>225</v>
      </c>
      <c r="I24" s="13"/>
      <c r="J24" s="13"/>
      <c r="K24" s="13"/>
      <c r="L24" s="13" t="s">
        <v>3423</v>
      </c>
      <c r="M24" s="13"/>
      <c r="N24" s="13"/>
      <c r="O24" s="13"/>
      <c r="P24" s="13"/>
      <c r="Q24" s="13"/>
      <c r="R24" s="13" t="s">
        <v>3424</v>
      </c>
      <c r="S24" s="13"/>
      <c r="T24" s="13" t="s">
        <v>3425</v>
      </c>
      <c r="U24" s="13"/>
      <c r="V24" s="13" t="s">
        <v>225</v>
      </c>
      <c r="W24" s="13"/>
      <c r="X24" s="13"/>
      <c r="Y24" s="13"/>
      <c r="Z24" s="13"/>
      <c r="AA24" s="17" t="s">
        <v>3502</v>
      </c>
      <c r="AB24" s="13"/>
      <c r="AC24" s="13" t="s">
        <v>3424</v>
      </c>
      <c r="AD24" s="13"/>
      <c r="AE24" s="13"/>
      <c r="AF24" t="s">
        <v>3427</v>
      </c>
    </row>
    <row r="25" spans="1:32" ht="23.1" customHeight="1" x14ac:dyDescent="0.25">
      <c r="A25" s="15" t="s">
        <v>3270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15"/>
      <c r="AC25" s="15"/>
      <c r="AD25" s="15"/>
      <c r="AE25" s="15"/>
    </row>
    <row r="26" spans="1:32" ht="36" customHeight="1" x14ac:dyDescent="0.25">
      <c r="A26" s="14" t="s">
        <v>3294</v>
      </c>
      <c r="B26" s="13" t="s">
        <v>3236</v>
      </c>
      <c r="C26" s="13"/>
      <c r="D26" s="13"/>
      <c r="E26" s="13" t="s">
        <v>3237</v>
      </c>
      <c r="F26" s="13" t="s">
        <v>3238</v>
      </c>
      <c r="G26" s="13" t="s">
        <v>3239</v>
      </c>
      <c r="H26" s="13" t="s">
        <v>3050</v>
      </c>
      <c r="I26" s="13" t="s">
        <v>3221</v>
      </c>
      <c r="J26" s="13" t="s">
        <v>3222</v>
      </c>
      <c r="K26" s="13" t="s">
        <v>3240</v>
      </c>
      <c r="L26" s="13" t="s">
        <v>3224</v>
      </c>
      <c r="M26" s="13" t="s">
        <v>3225</v>
      </c>
      <c r="N26" s="13" t="s">
        <v>3241</v>
      </c>
      <c r="O26" s="13"/>
      <c r="P26" s="13"/>
      <c r="Q26" s="13"/>
      <c r="R26" s="13"/>
      <c r="S26" s="13"/>
      <c r="T26" s="13"/>
      <c r="U26" s="13" t="s">
        <v>3227</v>
      </c>
      <c r="V26" s="13" t="s">
        <v>3227</v>
      </c>
      <c r="W26" s="13" t="s">
        <v>3242</v>
      </c>
      <c r="X26" s="13" t="s">
        <v>3243</v>
      </c>
      <c r="Y26" s="13" t="s">
        <v>3244</v>
      </c>
      <c r="Z26" s="13" t="s">
        <v>3245</v>
      </c>
      <c r="AA26" s="17"/>
      <c r="AB26" s="13"/>
      <c r="AC26" s="13"/>
      <c r="AD26" s="13"/>
      <c r="AE26" s="13"/>
      <c r="AF26" t="s">
        <v>3246</v>
      </c>
    </row>
    <row r="27" spans="1:32" ht="36" customHeight="1" x14ac:dyDescent="0.25">
      <c r="A27" s="14" t="s">
        <v>3295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 t="s">
        <v>3296</v>
      </c>
      <c r="AB27" s="13"/>
      <c r="AC27" s="13"/>
      <c r="AD27" s="13"/>
      <c r="AE27" s="13"/>
      <c r="AF27" t="s">
        <v>3246</v>
      </c>
    </row>
    <row r="28" spans="1:32" ht="36" customHeight="1" x14ac:dyDescent="0.25">
      <c r="A28" s="14" t="s">
        <v>2121</v>
      </c>
      <c r="B28" s="13"/>
      <c r="C28" s="13"/>
      <c r="D28" s="13"/>
      <c r="E28" s="13"/>
      <c r="F28" s="13"/>
      <c r="G28" s="13" t="s">
        <v>2122</v>
      </c>
      <c r="H28" s="13"/>
      <c r="I28" s="13" t="s">
        <v>228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 t="s">
        <v>2123</v>
      </c>
      <c r="AB28" s="13"/>
      <c r="AC28" s="13"/>
      <c r="AD28" s="13"/>
      <c r="AE28" s="13"/>
      <c r="AF28" t="s">
        <v>1975</v>
      </c>
    </row>
    <row r="29" spans="1:32" ht="36" customHeight="1" x14ac:dyDescent="0.25">
      <c r="A29" s="14" t="s">
        <v>3503</v>
      </c>
      <c r="B29" s="13" t="s">
        <v>3504</v>
      </c>
      <c r="C29" s="13"/>
      <c r="D29" s="13"/>
      <c r="E29" s="13"/>
      <c r="F29" s="13" t="s">
        <v>3504</v>
      </c>
      <c r="G29" s="13"/>
      <c r="H29" s="13"/>
      <c r="I29" s="13" t="s">
        <v>3504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 t="s">
        <v>3504</v>
      </c>
      <c r="AB29" s="13"/>
      <c r="AC29" s="13"/>
      <c r="AD29" s="13"/>
      <c r="AE29" s="13"/>
      <c r="AF29" t="s">
        <v>3505</v>
      </c>
    </row>
    <row r="30" spans="1:32" ht="36" customHeight="1" x14ac:dyDescent="0.25">
      <c r="A30" s="14" t="s">
        <v>3506</v>
      </c>
      <c r="B30" s="13" t="s">
        <v>3504</v>
      </c>
      <c r="C30" s="13"/>
      <c r="D30" s="13"/>
      <c r="E30" s="13"/>
      <c r="F30" s="13" t="s">
        <v>3504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7" t="s">
        <v>3504</v>
      </c>
      <c r="AB30" s="13"/>
      <c r="AC30" s="13"/>
      <c r="AD30" s="13"/>
      <c r="AE30" s="13"/>
      <c r="AF30" t="s">
        <v>3505</v>
      </c>
    </row>
    <row r="31" spans="1:32" ht="36" customHeight="1" x14ac:dyDescent="0.25">
      <c r="A31" s="14" t="s">
        <v>3507</v>
      </c>
      <c r="B31" s="13" t="s">
        <v>3219</v>
      </c>
      <c r="C31" s="13"/>
      <c r="D31" s="13"/>
      <c r="E31" s="13" t="s">
        <v>3220</v>
      </c>
      <c r="F31" s="13"/>
      <c r="G31" s="13" t="s">
        <v>1030</v>
      </c>
      <c r="H31" s="13" t="s">
        <v>3050</v>
      </c>
      <c r="I31" s="13" t="s">
        <v>3221</v>
      </c>
      <c r="J31" s="13" t="s">
        <v>3222</v>
      </c>
      <c r="K31" s="13" t="s">
        <v>3223</v>
      </c>
      <c r="L31" s="13" t="s">
        <v>3224</v>
      </c>
      <c r="M31" s="13" t="s">
        <v>3225</v>
      </c>
      <c r="N31" s="13"/>
      <c r="O31" s="13"/>
      <c r="P31" s="13" t="s">
        <v>3226</v>
      </c>
      <c r="Q31" s="13"/>
      <c r="R31" s="13"/>
      <c r="S31" s="13"/>
      <c r="T31" s="13" t="s">
        <v>3226</v>
      </c>
      <c r="U31" s="13" t="s">
        <v>3227</v>
      </c>
      <c r="V31" s="13" t="s">
        <v>3227</v>
      </c>
      <c r="W31" s="13" t="s">
        <v>3228</v>
      </c>
      <c r="X31" s="13" t="s">
        <v>3229</v>
      </c>
      <c r="Y31" s="13" t="s">
        <v>3230</v>
      </c>
      <c r="Z31" s="13" t="s">
        <v>3231</v>
      </c>
      <c r="AA31" s="17" t="s">
        <v>3232</v>
      </c>
      <c r="AB31" s="13" t="s">
        <v>3233</v>
      </c>
      <c r="AC31" s="13"/>
      <c r="AD31" s="13"/>
      <c r="AE31" s="13"/>
      <c r="AF31" t="s">
        <v>3508</v>
      </c>
    </row>
    <row r="32" spans="1:32" ht="36" customHeight="1" x14ac:dyDescent="0.25">
      <c r="A32" s="14" t="s">
        <v>3509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 t="s">
        <v>3510</v>
      </c>
      <c r="AB32" s="13"/>
      <c r="AC32" s="13"/>
      <c r="AD32" s="13"/>
      <c r="AE32" s="13"/>
      <c r="AF32" t="s">
        <v>3511</v>
      </c>
    </row>
    <row r="33" spans="1:32" ht="36" customHeight="1" x14ac:dyDescent="0.25">
      <c r="A33" s="14" t="s">
        <v>3297</v>
      </c>
      <c r="B33" s="13"/>
      <c r="C33" s="13" t="s">
        <v>3298</v>
      </c>
      <c r="D33" s="13"/>
      <c r="E33" s="13"/>
      <c r="F33" s="13"/>
      <c r="G33" s="13"/>
      <c r="H33" s="13" t="s">
        <v>3298</v>
      </c>
      <c r="I33" s="13" t="s">
        <v>3298</v>
      </c>
      <c r="J33" s="13" t="s">
        <v>3298</v>
      </c>
      <c r="K33" s="13" t="s">
        <v>3298</v>
      </c>
      <c r="L33" s="13" t="s">
        <v>3298</v>
      </c>
      <c r="M33" s="13" t="s">
        <v>3298</v>
      </c>
      <c r="N33" s="13" t="s">
        <v>3298</v>
      </c>
      <c r="O33" s="13"/>
      <c r="P33" s="13" t="s">
        <v>215</v>
      </c>
      <c r="Q33" s="13" t="s">
        <v>3298</v>
      </c>
      <c r="R33" s="13" t="s">
        <v>3298</v>
      </c>
      <c r="S33" s="13"/>
      <c r="T33" s="13"/>
      <c r="U33" s="13" t="s">
        <v>3298</v>
      </c>
      <c r="V33" s="13" t="s">
        <v>3298</v>
      </c>
      <c r="W33" s="13"/>
      <c r="X33" s="13" t="s">
        <v>3298</v>
      </c>
      <c r="Y33" s="13"/>
      <c r="Z33" s="13" t="s">
        <v>3298</v>
      </c>
      <c r="AA33" s="17"/>
      <c r="AB33" s="13" t="s">
        <v>3298</v>
      </c>
      <c r="AC33" s="13"/>
      <c r="AD33" s="13" t="s">
        <v>3298</v>
      </c>
      <c r="AE33" s="13"/>
      <c r="AF33" t="s">
        <v>3299</v>
      </c>
    </row>
    <row r="34" spans="1:32" ht="23.1" customHeight="1" x14ac:dyDescent="0.25">
      <c r="A34" s="15" t="s">
        <v>1623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15"/>
      <c r="AC34" s="15"/>
      <c r="AD34" s="15"/>
      <c r="AE34" s="15"/>
    </row>
    <row r="35" spans="1:32" ht="36" customHeight="1" x14ac:dyDescent="0.25">
      <c r="A35" s="14" t="s">
        <v>3512</v>
      </c>
      <c r="B35" s="13" t="s">
        <v>3429</v>
      </c>
      <c r="C35" s="13" t="s">
        <v>3430</v>
      </c>
      <c r="D35" s="13" t="s">
        <v>3431</v>
      </c>
      <c r="E35" s="13" t="s">
        <v>3432</v>
      </c>
      <c r="F35" s="13" t="s">
        <v>3433</v>
      </c>
      <c r="G35" s="13" t="s">
        <v>3434</v>
      </c>
      <c r="H35" s="13" t="s">
        <v>3435</v>
      </c>
      <c r="I35" s="13" t="s">
        <v>3436</v>
      </c>
      <c r="J35" s="13"/>
      <c r="K35" s="13" t="s">
        <v>3437</v>
      </c>
      <c r="L35" s="13" t="s">
        <v>3438</v>
      </c>
      <c r="M35" s="13" t="s">
        <v>3439</v>
      </c>
      <c r="N35" s="13" t="s">
        <v>3440</v>
      </c>
      <c r="O35" s="13" t="s">
        <v>3441</v>
      </c>
      <c r="P35" s="13" t="s">
        <v>3442</v>
      </c>
      <c r="Q35" s="13" t="s">
        <v>3443</v>
      </c>
      <c r="R35" s="13" t="s">
        <v>3444</v>
      </c>
      <c r="S35" s="13" t="s">
        <v>3445</v>
      </c>
      <c r="T35" s="13" t="s">
        <v>3446</v>
      </c>
      <c r="U35" s="13" t="s">
        <v>3447</v>
      </c>
      <c r="V35" s="13" t="s">
        <v>3448</v>
      </c>
      <c r="W35" s="13" t="s">
        <v>3449</v>
      </c>
      <c r="X35" s="13"/>
      <c r="Y35" s="13"/>
      <c r="Z35" s="13" t="s">
        <v>3450</v>
      </c>
      <c r="AA35" s="17" t="s">
        <v>3513</v>
      </c>
      <c r="AB35" s="13" t="s">
        <v>3452</v>
      </c>
      <c r="AC35" s="13" t="s">
        <v>3453</v>
      </c>
      <c r="AD35" s="13" t="s">
        <v>3454</v>
      </c>
      <c r="AE35" s="13" t="s">
        <v>3455</v>
      </c>
      <c r="AF35" t="s">
        <v>3514</v>
      </c>
    </row>
    <row r="36" spans="1:32" ht="23.1" customHeight="1" x14ac:dyDescent="0.25">
      <c r="A36" s="15" t="s">
        <v>3515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  <c r="AB36" s="15"/>
      <c r="AC36" s="15"/>
      <c r="AD36" s="15"/>
      <c r="AE36" s="15"/>
    </row>
    <row r="37" spans="1:32" ht="36" customHeight="1" x14ac:dyDescent="0.25">
      <c r="A37" s="14" t="s">
        <v>3516</v>
      </c>
      <c r="B37" s="13" t="s">
        <v>215</v>
      </c>
      <c r="C37" s="13"/>
      <c r="D37" s="13"/>
      <c r="E37" s="13"/>
      <c r="F37" s="13"/>
      <c r="G37" s="13"/>
      <c r="H37" s="13"/>
      <c r="I37" s="13"/>
      <c r="J37" s="13"/>
      <c r="K37" s="13" t="s">
        <v>215</v>
      </c>
      <c r="L37" s="13" t="s">
        <v>215</v>
      </c>
      <c r="M37" s="13" t="s">
        <v>215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/>
      <c r="AB37" s="13"/>
      <c r="AC37" s="13"/>
      <c r="AD37" s="13"/>
      <c r="AE37" s="13"/>
      <c r="AF37" t="s">
        <v>3517</v>
      </c>
    </row>
    <row r="38" spans="1:32" ht="36" customHeight="1" x14ac:dyDescent="0.25">
      <c r="A38" s="14" t="s">
        <v>3518</v>
      </c>
      <c r="B38" s="13"/>
      <c r="C38" s="13"/>
      <c r="D38" s="13"/>
      <c r="E38" s="13"/>
      <c r="F38" s="13"/>
      <c r="G38" s="13" t="s">
        <v>300</v>
      </c>
      <c r="H38" s="13"/>
      <c r="I38" s="13"/>
      <c r="J38" s="13"/>
      <c r="K38" s="13" t="s">
        <v>215</v>
      </c>
      <c r="L38" s="13" t="s">
        <v>215</v>
      </c>
      <c r="M38" s="13" t="s">
        <v>215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/>
      <c r="AB38" s="13"/>
      <c r="AC38" s="13"/>
      <c r="AD38" s="13"/>
      <c r="AE38" s="13"/>
      <c r="AF38" t="s">
        <v>3519</v>
      </c>
    </row>
    <row r="39" spans="1:32" ht="36" customHeight="1" x14ac:dyDescent="0.25">
      <c r="A39" s="14" t="s">
        <v>3520</v>
      </c>
      <c r="B39" s="13" t="s">
        <v>215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7"/>
      <c r="AB39" s="13"/>
      <c r="AC39" s="13"/>
      <c r="AD39" s="13"/>
      <c r="AE39" s="13"/>
      <c r="AF39" t="s">
        <v>3521</v>
      </c>
    </row>
    <row r="40" spans="1:32" ht="36" customHeight="1" x14ac:dyDescent="0.25">
      <c r="A40" s="14" t="s">
        <v>3522</v>
      </c>
      <c r="B40" s="13" t="s">
        <v>215</v>
      </c>
      <c r="C40" s="13"/>
      <c r="D40" s="13"/>
      <c r="E40" s="13"/>
      <c r="F40" s="13"/>
      <c r="G40" s="13" t="s">
        <v>215</v>
      </c>
      <c r="H40" s="13"/>
      <c r="I40" s="13" t="s">
        <v>215</v>
      </c>
      <c r="J40" s="13"/>
      <c r="K40" s="13"/>
      <c r="L40" s="13" t="s">
        <v>215</v>
      </c>
      <c r="M40" s="13" t="s">
        <v>215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7"/>
      <c r="AB40" s="13"/>
      <c r="AC40" s="13"/>
      <c r="AD40" s="13"/>
      <c r="AE40" s="13"/>
      <c r="AF40" t="s">
        <v>3523</v>
      </c>
    </row>
  </sheetData>
  <mergeCells count="1">
    <mergeCell ref="A1:A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13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3" sqref="AA13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Directory'!A1","Security History &amp; Audits"),"Security History &amp; Audits")</f>
        <v>Security History &amp; Audits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3524</v>
      </c>
      <c r="B3" s="13"/>
      <c r="C3" s="13"/>
      <c r="D3" s="13"/>
      <c r="E3" s="13"/>
      <c r="F3" s="13"/>
      <c r="G3" s="13" t="s">
        <v>3525</v>
      </c>
      <c r="H3" s="13"/>
      <c r="I3" s="13" t="s">
        <v>3526</v>
      </c>
      <c r="J3" s="13"/>
      <c r="K3" s="13"/>
      <c r="L3" s="13" t="s">
        <v>3527</v>
      </c>
      <c r="M3" s="13" t="s">
        <v>3527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7" t="s">
        <v>5855</v>
      </c>
      <c r="AB3" s="13"/>
      <c r="AC3" s="13"/>
      <c r="AD3" s="13"/>
      <c r="AE3" s="13"/>
      <c r="AF3" t="s">
        <v>3528</v>
      </c>
    </row>
    <row r="4" spans="1:32" ht="36" customHeight="1" x14ac:dyDescent="0.25">
      <c r="A4" s="14" t="s">
        <v>3529</v>
      </c>
      <c r="B4" s="13" t="s">
        <v>3530</v>
      </c>
      <c r="C4" s="13" t="s">
        <v>3531</v>
      </c>
      <c r="D4" s="13" t="s">
        <v>3532</v>
      </c>
      <c r="E4" s="13" t="s">
        <v>3533</v>
      </c>
      <c r="F4" s="13" t="s">
        <v>3532</v>
      </c>
      <c r="G4" s="13" t="s">
        <v>3534</v>
      </c>
      <c r="H4" s="13" t="s">
        <v>3533</v>
      </c>
      <c r="I4" s="13" t="s">
        <v>3535</v>
      </c>
      <c r="J4" s="13" t="s">
        <v>3536</v>
      </c>
      <c r="K4" s="13" t="s">
        <v>3537</v>
      </c>
      <c r="L4" s="13" t="s">
        <v>3538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7" t="s">
        <v>5855</v>
      </c>
      <c r="AB4" s="13"/>
      <c r="AC4" s="13"/>
      <c r="AD4" s="13"/>
      <c r="AE4" s="13"/>
      <c r="AF4" t="s">
        <v>3528</v>
      </c>
    </row>
    <row r="5" spans="1:32" ht="36" customHeight="1" x14ac:dyDescent="0.25">
      <c r="A5" s="14" t="s">
        <v>3539</v>
      </c>
      <c r="B5" s="13" t="s">
        <v>3540</v>
      </c>
      <c r="C5" s="13" t="s">
        <v>3541</v>
      </c>
      <c r="D5" s="13" t="s">
        <v>3419</v>
      </c>
      <c r="E5" s="13" t="s">
        <v>3541</v>
      </c>
      <c r="F5" s="13" t="s">
        <v>3419</v>
      </c>
      <c r="G5" s="13" t="s">
        <v>3542</v>
      </c>
      <c r="H5" s="13" t="s">
        <v>3419</v>
      </c>
      <c r="I5" s="13"/>
      <c r="J5" s="13"/>
      <c r="K5" s="13"/>
      <c r="L5" s="13"/>
      <c r="M5" s="13" t="s">
        <v>3543</v>
      </c>
      <c r="N5" s="13" t="s">
        <v>3544</v>
      </c>
      <c r="O5" s="13" t="s">
        <v>3544</v>
      </c>
      <c r="P5" s="13" t="s">
        <v>3544</v>
      </c>
      <c r="Q5" s="13" t="s">
        <v>3544</v>
      </c>
      <c r="R5" s="13" t="s">
        <v>3544</v>
      </c>
      <c r="S5" s="13" t="s">
        <v>3544</v>
      </c>
      <c r="T5" s="13" t="s">
        <v>3544</v>
      </c>
      <c r="U5" s="13" t="s">
        <v>3544</v>
      </c>
      <c r="V5" s="13" t="s">
        <v>3544</v>
      </c>
      <c r="W5" s="13" t="s">
        <v>3544</v>
      </c>
      <c r="X5" s="13" t="s">
        <v>3544</v>
      </c>
      <c r="Y5" s="13" t="s">
        <v>3544</v>
      </c>
      <c r="Z5" s="13" t="s">
        <v>3544</v>
      </c>
      <c r="AA5" s="17" t="s">
        <v>3544</v>
      </c>
      <c r="AB5" s="13" t="s">
        <v>3544</v>
      </c>
      <c r="AC5" s="13" t="s">
        <v>3544</v>
      </c>
      <c r="AD5" s="13" t="s">
        <v>3544</v>
      </c>
      <c r="AE5" s="13" t="s">
        <v>3544</v>
      </c>
      <c r="AF5" t="s">
        <v>3545</v>
      </c>
    </row>
    <row r="6" spans="1:32" ht="36" customHeight="1" x14ac:dyDescent="0.25">
      <c r="A6" s="14" t="s">
        <v>3546</v>
      </c>
      <c r="B6" s="13" t="s">
        <v>3547</v>
      </c>
      <c r="C6" s="13"/>
      <c r="D6" s="13"/>
      <c r="E6" s="13"/>
      <c r="F6" s="13"/>
      <c r="G6" s="13" t="s">
        <v>3548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3"/>
      <c r="AC6" s="13"/>
      <c r="AD6" s="13"/>
      <c r="AE6" s="13"/>
      <c r="AF6" t="s">
        <v>3545</v>
      </c>
    </row>
    <row r="7" spans="1:32" ht="36" customHeight="1" x14ac:dyDescent="0.25">
      <c r="A7" s="14" t="s">
        <v>3549</v>
      </c>
      <c r="B7" s="13" t="s">
        <v>3550</v>
      </c>
      <c r="C7" s="13"/>
      <c r="D7" s="13" t="s">
        <v>3551</v>
      </c>
      <c r="E7" s="13"/>
      <c r="F7" s="13" t="s">
        <v>3551</v>
      </c>
      <c r="G7" s="13" t="s">
        <v>3548</v>
      </c>
      <c r="H7" s="13" t="s">
        <v>3552</v>
      </c>
      <c r="I7" s="13" t="s">
        <v>3552</v>
      </c>
      <c r="J7" s="13"/>
      <c r="K7" s="13"/>
      <c r="L7" s="13" t="s">
        <v>3553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/>
      <c r="AB7" s="13"/>
      <c r="AC7" s="13"/>
      <c r="AD7" s="13"/>
      <c r="AE7" s="13"/>
      <c r="AF7" t="s">
        <v>3554</v>
      </c>
    </row>
    <row r="8" spans="1:32" ht="36" customHeight="1" x14ac:dyDescent="0.25">
      <c r="A8" s="14" t="s">
        <v>3555</v>
      </c>
      <c r="B8" s="13" t="s">
        <v>3556</v>
      </c>
      <c r="C8" s="13" t="s">
        <v>3557</v>
      </c>
      <c r="D8" s="13"/>
      <c r="E8" s="13" t="s">
        <v>3558</v>
      </c>
      <c r="F8" s="13"/>
      <c r="G8" s="13" t="s">
        <v>3559</v>
      </c>
      <c r="H8" s="13" t="s">
        <v>3560</v>
      </c>
      <c r="I8" s="13" t="s">
        <v>3561</v>
      </c>
      <c r="J8" s="13"/>
      <c r="K8" s="13" t="s">
        <v>3562</v>
      </c>
      <c r="L8" s="13" t="s">
        <v>3563</v>
      </c>
      <c r="M8" s="13" t="s">
        <v>3564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/>
      <c r="AB8" s="13"/>
      <c r="AC8" s="13"/>
      <c r="AD8" s="13"/>
      <c r="AE8" s="13"/>
      <c r="AF8" t="s">
        <v>3565</v>
      </c>
    </row>
    <row r="9" spans="1:32" ht="23.1" customHeight="1" x14ac:dyDescent="0.25">
      <c r="A9" s="15" t="s">
        <v>3566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  <c r="AF9" t="s">
        <v>3565</v>
      </c>
    </row>
    <row r="10" spans="1:32" ht="36" customHeight="1" x14ac:dyDescent="0.25">
      <c r="A10" s="14" t="s">
        <v>3567</v>
      </c>
      <c r="B10" s="13" t="s">
        <v>215</v>
      </c>
      <c r="C10" s="13"/>
      <c r="D10" s="13"/>
      <c r="E10" s="13"/>
      <c r="F10" s="13"/>
      <c r="G10" s="13" t="s">
        <v>215</v>
      </c>
      <c r="H10" s="13"/>
      <c r="I10" s="13" t="s">
        <v>215</v>
      </c>
      <c r="J10" s="13"/>
      <c r="K10" s="13"/>
      <c r="L10" s="13" t="s">
        <v>215</v>
      </c>
      <c r="M10" s="13" t="s">
        <v>215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/>
      <c r="AB10" s="13"/>
      <c r="AC10" s="13"/>
      <c r="AD10" s="13"/>
      <c r="AE10" s="13"/>
      <c r="AF10" t="s">
        <v>3568</v>
      </c>
    </row>
    <row r="11" spans="1:32" ht="36" customHeight="1" x14ac:dyDescent="0.25">
      <c r="A11" s="14" t="s">
        <v>3569</v>
      </c>
      <c r="B11" s="13" t="s">
        <v>3570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/>
      <c r="AB11" s="13"/>
      <c r="AC11" s="13"/>
      <c r="AD11" s="13"/>
      <c r="AE11" s="13"/>
      <c r="AF11" t="s">
        <v>3545</v>
      </c>
    </row>
    <row r="12" spans="1:32" ht="23.1" customHeight="1" x14ac:dyDescent="0.25">
      <c r="A12" s="15" t="s">
        <v>3571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  <c r="AF12" t="s">
        <v>3572</v>
      </c>
    </row>
    <row r="13" spans="1:32" ht="23.1" customHeight="1" x14ac:dyDescent="0.25">
      <c r="A13" s="15" t="s">
        <v>3573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  <c r="AF13" t="s">
        <v>3574</v>
      </c>
    </row>
  </sheetData>
  <mergeCells count="1">
    <mergeCell ref="A1:A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19"/>
  <sheetViews>
    <sheetView workbookViewId="0">
      <pane xSplit="2" ySplit="2" topLeftCell="X4" activePane="bottomRight" state="frozen"/>
      <selection pane="topRight" activeCell="C1" sqref="C1"/>
      <selection pane="bottomLeft" activeCell="A3" sqref="A3"/>
      <selection pane="bottomRight" activeCell="AA16" sqref="AA16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Directory'!A1","Moderation &amp; Safety"),"Moderation &amp; Safety")</f>
        <v>Moderation &amp; Safety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3575</v>
      </c>
      <c r="B3" s="13" t="s">
        <v>3576</v>
      </c>
      <c r="C3" s="13" t="s">
        <v>3577</v>
      </c>
      <c r="D3" s="13" t="s">
        <v>3578</v>
      </c>
      <c r="E3" s="13" t="s">
        <v>3578</v>
      </c>
      <c r="F3" s="13" t="s">
        <v>3579</v>
      </c>
      <c r="G3" s="13" t="s">
        <v>3580</v>
      </c>
      <c r="H3" s="13" t="s">
        <v>3581</v>
      </c>
      <c r="I3" s="13" t="s">
        <v>3582</v>
      </c>
      <c r="J3" s="13" t="s">
        <v>3583</v>
      </c>
      <c r="K3" s="13" t="s">
        <v>3584</v>
      </c>
      <c r="L3" s="13" t="s">
        <v>3585</v>
      </c>
      <c r="M3" s="13" t="s">
        <v>3586</v>
      </c>
      <c r="N3" s="13"/>
      <c r="O3" s="13"/>
      <c r="P3" s="13"/>
      <c r="Q3" s="13"/>
      <c r="R3" s="13"/>
      <c r="S3" s="13"/>
      <c r="T3" s="13" t="s">
        <v>3578</v>
      </c>
      <c r="U3" s="13"/>
      <c r="V3" s="13"/>
      <c r="W3" s="13"/>
      <c r="X3" s="13"/>
      <c r="Y3" s="13"/>
      <c r="Z3" s="13" t="s">
        <v>3587</v>
      </c>
      <c r="AA3" s="17" t="s">
        <v>3588</v>
      </c>
      <c r="AB3" s="13" t="s">
        <v>3578</v>
      </c>
      <c r="AC3" s="13"/>
      <c r="AD3" s="13" t="s">
        <v>3589</v>
      </c>
      <c r="AE3" s="13"/>
      <c r="AF3" t="s">
        <v>3590</v>
      </c>
    </row>
    <row r="4" spans="1:32" ht="36" customHeight="1" x14ac:dyDescent="0.25">
      <c r="A4" s="14" t="s">
        <v>3591</v>
      </c>
      <c r="B4" s="13" t="s">
        <v>3592</v>
      </c>
      <c r="C4" s="13"/>
      <c r="D4" s="13"/>
      <c r="E4" s="13"/>
      <c r="F4" s="13"/>
      <c r="G4" s="13" t="s">
        <v>3593</v>
      </c>
      <c r="H4" s="13"/>
      <c r="I4" s="13" t="s">
        <v>3594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 t="s">
        <v>3595</v>
      </c>
      <c r="AA4" s="17" t="s">
        <v>5856</v>
      </c>
      <c r="AB4" s="13"/>
      <c r="AC4" s="13"/>
      <c r="AD4" s="13" t="s">
        <v>3596</v>
      </c>
      <c r="AE4" s="13"/>
      <c r="AF4" t="s">
        <v>3597</v>
      </c>
    </row>
    <row r="5" spans="1:32" ht="36" customHeight="1" x14ac:dyDescent="0.25">
      <c r="A5" s="14" t="s">
        <v>3598</v>
      </c>
      <c r="B5" s="13" t="s">
        <v>3599</v>
      </c>
      <c r="C5" s="13" t="s">
        <v>3600</v>
      </c>
      <c r="D5" s="13" t="s">
        <v>3601</v>
      </c>
      <c r="E5" s="13" t="s">
        <v>3602</v>
      </c>
      <c r="F5" s="13" t="s">
        <v>3603</v>
      </c>
      <c r="G5" s="13" t="s">
        <v>3604</v>
      </c>
      <c r="H5" s="13" t="s">
        <v>3605</v>
      </c>
      <c r="I5" s="13" t="s">
        <v>3606</v>
      </c>
      <c r="J5" s="13" t="s">
        <v>3607</v>
      </c>
      <c r="K5" s="13" t="s">
        <v>3608</v>
      </c>
      <c r="L5" s="13" t="s">
        <v>3609</v>
      </c>
      <c r="M5" s="13" t="s">
        <v>3610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 t="s">
        <v>3611</v>
      </c>
      <c r="AA5" s="17" t="s">
        <v>3612</v>
      </c>
      <c r="AB5" s="13" t="s">
        <v>3613</v>
      </c>
      <c r="AC5" s="13"/>
      <c r="AD5" s="13" t="s">
        <v>3614</v>
      </c>
      <c r="AE5" s="13"/>
      <c r="AF5" t="s">
        <v>3615</v>
      </c>
    </row>
    <row r="6" spans="1:32" ht="36" customHeight="1" x14ac:dyDescent="0.25">
      <c r="A6" s="14" t="s">
        <v>3616</v>
      </c>
      <c r="B6" s="13" t="s">
        <v>3617</v>
      </c>
      <c r="C6" s="13"/>
      <c r="D6" s="13"/>
      <c r="E6" s="13"/>
      <c r="F6" s="13"/>
      <c r="G6" s="13" t="s">
        <v>3618</v>
      </c>
      <c r="H6" s="13"/>
      <c r="I6" s="13" t="s">
        <v>228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 t="s">
        <v>3619</v>
      </c>
      <c r="AA6" s="17" t="s">
        <v>3620</v>
      </c>
      <c r="AB6" s="13"/>
      <c r="AC6" s="13"/>
      <c r="AD6" s="13" t="s">
        <v>3621</v>
      </c>
      <c r="AE6" s="13"/>
      <c r="AF6" t="s">
        <v>3622</v>
      </c>
    </row>
    <row r="7" spans="1:32" ht="36" customHeight="1" x14ac:dyDescent="0.25">
      <c r="A7" s="14" t="s">
        <v>3623</v>
      </c>
      <c r="B7" s="13" t="s">
        <v>3624</v>
      </c>
      <c r="C7" s="13"/>
      <c r="D7" s="13"/>
      <c r="E7" s="13"/>
      <c r="F7" s="13"/>
      <c r="G7" s="13" t="s">
        <v>1030</v>
      </c>
      <c r="H7" s="13"/>
      <c r="I7" s="13" t="s">
        <v>3625</v>
      </c>
      <c r="J7" s="13" t="s">
        <v>3626</v>
      </c>
      <c r="K7" s="13" t="s">
        <v>3627</v>
      </c>
      <c r="L7" s="13" t="s">
        <v>3628</v>
      </c>
      <c r="M7" s="13" t="s">
        <v>3629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 t="s">
        <v>3227</v>
      </c>
      <c r="AA7" s="17"/>
      <c r="AB7" s="13" t="s">
        <v>3630</v>
      </c>
      <c r="AC7" s="13"/>
      <c r="AD7" s="13"/>
      <c r="AE7" s="13"/>
      <c r="AF7" t="s">
        <v>3631</v>
      </c>
    </row>
    <row r="8" spans="1:32" ht="36" customHeight="1" x14ac:dyDescent="0.25">
      <c r="A8" s="14" t="s">
        <v>3632</v>
      </c>
      <c r="B8" s="13" t="s">
        <v>3633</v>
      </c>
      <c r="C8" s="13"/>
      <c r="D8" s="13"/>
      <c r="E8" s="13"/>
      <c r="F8" s="13"/>
      <c r="G8" s="13" t="s">
        <v>1030</v>
      </c>
      <c r="H8" s="13"/>
      <c r="I8" s="13" t="s">
        <v>3634</v>
      </c>
      <c r="J8" s="13" t="s">
        <v>3635</v>
      </c>
      <c r="K8" s="13" t="s">
        <v>3636</v>
      </c>
      <c r="L8" s="13" t="s">
        <v>3637</v>
      </c>
      <c r="M8" s="13" t="s">
        <v>3638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 t="s">
        <v>3639</v>
      </c>
      <c r="AA8" s="17" t="s">
        <v>3640</v>
      </c>
      <c r="AB8" s="13" t="s">
        <v>3641</v>
      </c>
      <c r="AC8" s="13"/>
      <c r="AD8" s="13" t="s">
        <v>3642</v>
      </c>
      <c r="AE8" s="13"/>
      <c r="AF8" t="s">
        <v>3643</v>
      </c>
    </row>
    <row r="9" spans="1:32" ht="36" customHeight="1" x14ac:dyDescent="0.25">
      <c r="A9" s="14" t="s">
        <v>3644</v>
      </c>
      <c r="B9" s="13" t="s">
        <v>3645</v>
      </c>
      <c r="C9" s="13"/>
      <c r="D9" s="13"/>
      <c r="E9" s="13"/>
      <c r="F9" s="13"/>
      <c r="G9" s="13" t="s">
        <v>2122</v>
      </c>
      <c r="H9" s="13"/>
      <c r="I9" s="13" t="s">
        <v>3646</v>
      </c>
      <c r="J9" s="13" t="s">
        <v>3647</v>
      </c>
      <c r="K9" s="13" t="s">
        <v>3648</v>
      </c>
      <c r="L9" s="13" t="s">
        <v>3649</v>
      </c>
      <c r="M9" s="13" t="s">
        <v>3650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 t="s">
        <v>3651</v>
      </c>
      <c r="AA9" s="17"/>
      <c r="AB9" s="13"/>
      <c r="AC9" s="13"/>
      <c r="AD9" s="13"/>
      <c r="AE9" s="13"/>
    </row>
    <row r="10" spans="1:32" ht="36" customHeight="1" x14ac:dyDescent="0.25">
      <c r="A10" s="14" t="s">
        <v>3652</v>
      </c>
      <c r="B10" s="13"/>
      <c r="C10" s="13"/>
      <c r="D10" s="13" t="s">
        <v>3653</v>
      </c>
      <c r="E10" s="13"/>
      <c r="F10" s="13" t="s">
        <v>3654</v>
      </c>
      <c r="G10" s="13" t="s">
        <v>2122</v>
      </c>
      <c r="H10" s="13"/>
      <c r="I10" s="13" t="s">
        <v>3655</v>
      </c>
      <c r="J10" s="13" t="s">
        <v>3655</v>
      </c>
      <c r="K10" s="13" t="s">
        <v>3656</v>
      </c>
      <c r="L10" s="13" t="s">
        <v>3657</v>
      </c>
      <c r="M10" s="13" t="s">
        <v>3657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 t="s">
        <v>3658</v>
      </c>
      <c r="AA10" s="17" t="s">
        <v>3659</v>
      </c>
      <c r="AB10" s="13" t="s">
        <v>3660</v>
      </c>
      <c r="AC10" s="13"/>
      <c r="AD10" s="13" t="s">
        <v>3661</v>
      </c>
      <c r="AE10" s="13"/>
      <c r="AF10" t="s">
        <v>3662</v>
      </c>
    </row>
    <row r="11" spans="1:32" ht="23.1" customHeight="1" x14ac:dyDescent="0.25">
      <c r="A11" s="15" t="s">
        <v>3663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5"/>
      <c r="AC11" s="15"/>
      <c r="AD11" s="15"/>
      <c r="AE11" s="15"/>
      <c r="AF11" t="s">
        <v>3662</v>
      </c>
    </row>
    <row r="12" spans="1:32" ht="36" customHeight="1" x14ac:dyDescent="0.25">
      <c r="A12" s="14" t="s">
        <v>3664</v>
      </c>
      <c r="B12" s="13" t="s">
        <v>215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215</v>
      </c>
      <c r="AB12" s="13"/>
      <c r="AC12" s="13"/>
      <c r="AD12" s="13"/>
      <c r="AE12" s="13"/>
      <c r="AF12" t="s">
        <v>1346</v>
      </c>
    </row>
    <row r="13" spans="1:32" ht="36" customHeight="1" x14ac:dyDescent="0.25">
      <c r="A13" s="14" t="s">
        <v>3665</v>
      </c>
      <c r="B13" s="13" t="s">
        <v>3666</v>
      </c>
      <c r="C13" s="13"/>
      <c r="D13" s="13"/>
      <c r="E13" s="13"/>
      <c r="F13" s="13" t="s">
        <v>3666</v>
      </c>
      <c r="G13" s="13"/>
      <c r="H13" s="13"/>
      <c r="I13" s="13"/>
      <c r="J13" s="13" t="s">
        <v>3666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 t="s">
        <v>3666</v>
      </c>
      <c r="AA13" s="17" t="s">
        <v>215</v>
      </c>
      <c r="AB13" s="13"/>
      <c r="AC13" s="13"/>
      <c r="AD13" s="13" t="s">
        <v>3666</v>
      </c>
      <c r="AE13" s="13"/>
      <c r="AF13" t="s">
        <v>3597</v>
      </c>
    </row>
    <row r="14" spans="1:32" ht="36" customHeight="1" x14ac:dyDescent="0.25">
      <c r="A14" s="14" t="s">
        <v>3667</v>
      </c>
      <c r="B14" s="13" t="s">
        <v>215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/>
      <c r="AB14" s="13"/>
      <c r="AC14" s="13"/>
      <c r="AD14" s="13"/>
      <c r="AE14" s="13"/>
      <c r="AF14" t="s">
        <v>1346</v>
      </c>
    </row>
    <row r="15" spans="1:32" ht="36" customHeight="1" x14ac:dyDescent="0.25">
      <c r="A15" s="14" t="s">
        <v>3668</v>
      </c>
      <c r="B15" s="13" t="s">
        <v>3645</v>
      </c>
      <c r="C15" s="13"/>
      <c r="D15" s="13"/>
      <c r="E15" s="13"/>
      <c r="F15" s="13"/>
      <c r="G15" s="13" t="s">
        <v>2122</v>
      </c>
      <c r="H15" s="13"/>
      <c r="I15" s="13" t="s">
        <v>3646</v>
      </c>
      <c r="J15" s="13" t="s">
        <v>3647</v>
      </c>
      <c r="K15" s="13" t="s">
        <v>3648</v>
      </c>
      <c r="L15" s="13" t="s">
        <v>3649</v>
      </c>
      <c r="M15" s="13" t="s">
        <v>3650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 t="s">
        <v>3651</v>
      </c>
      <c r="AA15" s="17" t="s">
        <v>215</v>
      </c>
      <c r="AB15" s="13"/>
      <c r="AC15" s="13"/>
      <c r="AD15" s="13"/>
      <c r="AE15" s="13"/>
      <c r="AF15" t="s">
        <v>1346</v>
      </c>
    </row>
    <row r="16" spans="1:32" ht="36" customHeight="1" x14ac:dyDescent="0.25">
      <c r="A16" s="14" t="s">
        <v>3669</v>
      </c>
      <c r="B16" s="13" t="s">
        <v>3645</v>
      </c>
      <c r="C16" s="13"/>
      <c r="D16" s="13"/>
      <c r="E16" s="13"/>
      <c r="F16" s="13"/>
      <c r="G16" s="13" t="s">
        <v>2122</v>
      </c>
      <c r="H16" s="13"/>
      <c r="I16" s="13" t="s">
        <v>3646</v>
      </c>
      <c r="J16" s="13" t="s">
        <v>3647</v>
      </c>
      <c r="K16" s="13" t="s">
        <v>3648</v>
      </c>
      <c r="L16" s="13" t="s">
        <v>3649</v>
      </c>
      <c r="M16" s="13" t="s">
        <v>3650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 t="s">
        <v>3651</v>
      </c>
      <c r="AA16" s="17" t="s">
        <v>215</v>
      </c>
      <c r="AB16" s="13"/>
      <c r="AC16" s="13"/>
      <c r="AD16" s="13"/>
      <c r="AE16" s="13"/>
      <c r="AF16" t="s">
        <v>1346</v>
      </c>
    </row>
    <row r="17" spans="1:32" ht="36" customHeight="1" x14ac:dyDescent="0.25">
      <c r="A17" s="14" t="s">
        <v>3670</v>
      </c>
      <c r="B17" s="13" t="s">
        <v>215</v>
      </c>
      <c r="C17" s="13" t="s">
        <v>215</v>
      </c>
      <c r="D17" s="13" t="s">
        <v>215</v>
      </c>
      <c r="E17" s="13" t="s">
        <v>215</v>
      </c>
      <c r="F17" s="13" t="s">
        <v>215</v>
      </c>
      <c r="G17" s="13" t="s">
        <v>215</v>
      </c>
      <c r="H17" s="13" t="s">
        <v>215</v>
      </c>
      <c r="I17" s="13" t="s">
        <v>215</v>
      </c>
      <c r="J17" s="13" t="s">
        <v>215</v>
      </c>
      <c r="K17" s="13" t="s">
        <v>215</v>
      </c>
      <c r="L17" s="13" t="s">
        <v>215</v>
      </c>
      <c r="M17" s="13" t="s">
        <v>215</v>
      </c>
      <c r="N17" s="13" t="s">
        <v>215</v>
      </c>
      <c r="O17" s="13" t="s">
        <v>215</v>
      </c>
      <c r="P17" s="13" t="s">
        <v>215</v>
      </c>
      <c r="Q17" s="13" t="s">
        <v>215</v>
      </c>
      <c r="R17" s="13" t="s">
        <v>215</v>
      </c>
      <c r="S17" s="13" t="s">
        <v>215</v>
      </c>
      <c r="T17" s="13" t="s">
        <v>215</v>
      </c>
      <c r="U17" s="13" t="s">
        <v>215</v>
      </c>
      <c r="V17" s="13" t="s">
        <v>215</v>
      </c>
      <c r="W17" s="13" t="s">
        <v>215</v>
      </c>
      <c r="X17" s="13" t="s">
        <v>215</v>
      </c>
      <c r="Y17" s="13" t="s">
        <v>215</v>
      </c>
      <c r="Z17" s="13" t="s">
        <v>215</v>
      </c>
      <c r="AA17" s="17" t="s">
        <v>215</v>
      </c>
      <c r="AB17" s="13" t="s">
        <v>215</v>
      </c>
      <c r="AC17" s="13" t="s">
        <v>215</v>
      </c>
      <c r="AD17" s="13" t="s">
        <v>215</v>
      </c>
      <c r="AE17" s="13" t="s">
        <v>215</v>
      </c>
      <c r="AF17" t="s">
        <v>215</v>
      </c>
    </row>
    <row r="18" spans="1:32" ht="36" customHeight="1" x14ac:dyDescent="0.25">
      <c r="A18" s="14" t="s">
        <v>3671</v>
      </c>
      <c r="B18" s="13" t="s">
        <v>215</v>
      </c>
      <c r="C18" s="13" t="s">
        <v>215</v>
      </c>
      <c r="D18" s="13" t="s">
        <v>215</v>
      </c>
      <c r="E18" s="13" t="s">
        <v>215</v>
      </c>
      <c r="F18" s="13" t="s">
        <v>215</v>
      </c>
      <c r="G18" s="13" t="s">
        <v>215</v>
      </c>
      <c r="H18" s="13" t="s">
        <v>215</v>
      </c>
      <c r="I18" s="13" t="s">
        <v>215</v>
      </c>
      <c r="J18" s="13" t="s">
        <v>215</v>
      </c>
      <c r="K18" s="13" t="s">
        <v>215</v>
      </c>
      <c r="L18" s="13" t="s">
        <v>215</v>
      </c>
      <c r="M18" s="13" t="s">
        <v>215</v>
      </c>
      <c r="N18" s="13" t="s">
        <v>215</v>
      </c>
      <c r="O18" s="13" t="s">
        <v>215</v>
      </c>
      <c r="P18" s="13" t="s">
        <v>215</v>
      </c>
      <c r="Q18" s="13" t="s">
        <v>215</v>
      </c>
      <c r="R18" s="13" t="s">
        <v>215</v>
      </c>
      <c r="S18" s="13" t="s">
        <v>215</v>
      </c>
      <c r="T18" s="13" t="s">
        <v>215</v>
      </c>
      <c r="U18" s="13" t="s">
        <v>215</v>
      </c>
      <c r="V18" s="13" t="s">
        <v>215</v>
      </c>
      <c r="W18" s="13" t="s">
        <v>215</v>
      </c>
      <c r="X18" s="13" t="s">
        <v>215</v>
      </c>
      <c r="Y18" s="13" t="s">
        <v>215</v>
      </c>
      <c r="Z18" s="13" t="s">
        <v>215</v>
      </c>
      <c r="AA18" s="17" t="s">
        <v>215</v>
      </c>
      <c r="AB18" s="13" t="s">
        <v>215</v>
      </c>
      <c r="AC18" s="13" t="s">
        <v>215</v>
      </c>
      <c r="AD18" s="13" t="s">
        <v>215</v>
      </c>
      <c r="AE18" s="13" t="s">
        <v>215</v>
      </c>
      <c r="AF18" t="s">
        <v>215</v>
      </c>
    </row>
    <row r="19" spans="1:32" ht="36" customHeight="1" x14ac:dyDescent="0.25">
      <c r="A19" s="14" t="s">
        <v>3672</v>
      </c>
      <c r="B19" s="13" t="s">
        <v>215</v>
      </c>
      <c r="C19" s="13"/>
      <c r="D19" s="13"/>
      <c r="E19" s="13"/>
      <c r="F19" s="13"/>
      <c r="G19" s="13"/>
      <c r="H19" s="13"/>
      <c r="I19" s="13" t="s">
        <v>215</v>
      </c>
      <c r="J19" s="13" t="s">
        <v>215</v>
      </c>
      <c r="K19" s="13"/>
      <c r="L19" s="13" t="s">
        <v>215</v>
      </c>
      <c r="M19" s="13" t="s">
        <v>215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215</v>
      </c>
      <c r="AB19" s="13"/>
      <c r="AC19" s="13"/>
      <c r="AD19" s="13"/>
      <c r="AE19" s="13"/>
      <c r="AF19" t="s">
        <v>215</v>
      </c>
    </row>
  </sheetData>
  <mergeCells count="1">
    <mergeCell ref="A1:A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39"/>
  <sheetViews>
    <sheetView workbookViewId="0">
      <pane xSplit="2" ySplit="2" topLeftCell="X22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Directory'!A1","Moderation, Anti-Spam &amp; Safety — Granular"),"Moderation, Anti-Spam &amp; Safety — Granular")</f>
        <v>Moderation, Anti-Spam &amp; Safety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3673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3674</v>
      </c>
      <c r="B4" s="13" t="s">
        <v>3576</v>
      </c>
      <c r="C4" s="13" t="s">
        <v>3577</v>
      </c>
      <c r="D4" s="13" t="s">
        <v>3578</v>
      </c>
      <c r="E4" s="13" t="s">
        <v>3578</v>
      </c>
      <c r="F4" s="13" t="s">
        <v>3579</v>
      </c>
      <c r="G4" s="13" t="s">
        <v>3580</v>
      </c>
      <c r="H4" s="13" t="s">
        <v>3581</v>
      </c>
      <c r="I4" s="13" t="s">
        <v>3582</v>
      </c>
      <c r="J4" s="13" t="s">
        <v>3583</v>
      </c>
      <c r="K4" s="13" t="s">
        <v>3584</v>
      </c>
      <c r="L4" s="13" t="s">
        <v>3585</v>
      </c>
      <c r="M4" s="13" t="s">
        <v>3586</v>
      </c>
      <c r="N4" s="13"/>
      <c r="O4" s="13"/>
      <c r="P4" s="13"/>
      <c r="Q4" s="13"/>
      <c r="R4" s="13"/>
      <c r="S4" s="13"/>
      <c r="T4" s="13" t="s">
        <v>3578</v>
      </c>
      <c r="U4" s="13"/>
      <c r="V4" s="13"/>
      <c r="W4" s="13"/>
      <c r="X4" s="13"/>
      <c r="Y4" s="13"/>
      <c r="Z4" s="13" t="s">
        <v>3587</v>
      </c>
      <c r="AA4" s="17" t="s">
        <v>215</v>
      </c>
      <c r="AB4" s="13" t="s">
        <v>3578</v>
      </c>
      <c r="AC4" s="13"/>
      <c r="AD4" s="13" t="s">
        <v>3589</v>
      </c>
      <c r="AE4" s="13"/>
      <c r="AF4" t="s">
        <v>3590</v>
      </c>
    </row>
    <row r="5" spans="1:32" ht="36" customHeight="1" x14ac:dyDescent="0.25">
      <c r="A5" s="14" t="s">
        <v>3675</v>
      </c>
      <c r="B5" s="13" t="s">
        <v>3592</v>
      </c>
      <c r="C5" s="13"/>
      <c r="D5" s="13"/>
      <c r="E5" s="13"/>
      <c r="F5" s="13"/>
      <c r="G5" s="13" t="s">
        <v>3593</v>
      </c>
      <c r="H5" s="13"/>
      <c r="I5" s="13" t="s">
        <v>3594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 t="s">
        <v>3595</v>
      </c>
      <c r="AA5" s="17" t="s">
        <v>215</v>
      </c>
      <c r="AB5" s="13"/>
      <c r="AC5" s="13"/>
      <c r="AD5" s="13" t="s">
        <v>3596</v>
      </c>
      <c r="AE5" s="13"/>
      <c r="AF5" t="s">
        <v>3597</v>
      </c>
    </row>
    <row r="6" spans="1:32" ht="36" customHeight="1" x14ac:dyDescent="0.25">
      <c r="A6" s="14" t="s">
        <v>3676</v>
      </c>
      <c r="B6" s="13" t="s">
        <v>215</v>
      </c>
      <c r="C6" s="13" t="s">
        <v>215</v>
      </c>
      <c r="D6" s="13"/>
      <c r="E6" s="13"/>
      <c r="F6" s="13" t="s">
        <v>215</v>
      </c>
      <c r="G6" s="13"/>
      <c r="H6" s="13"/>
      <c r="I6" s="13" t="s">
        <v>225</v>
      </c>
      <c r="J6" s="13"/>
      <c r="K6" s="13"/>
      <c r="L6" s="13" t="s">
        <v>215</v>
      </c>
      <c r="M6" s="13" t="s">
        <v>215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3"/>
      <c r="AC6" s="13"/>
      <c r="AD6" s="13"/>
      <c r="AE6" s="13"/>
      <c r="AF6" t="s">
        <v>3597</v>
      </c>
    </row>
    <row r="7" spans="1:32" ht="23.1" customHeight="1" x14ac:dyDescent="0.25">
      <c r="A7" s="15" t="s">
        <v>3677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5"/>
      <c r="AC7" s="15"/>
      <c r="AD7" s="15"/>
      <c r="AE7" s="15"/>
      <c r="AF7" t="s">
        <v>3597</v>
      </c>
    </row>
    <row r="8" spans="1:32" ht="36" customHeight="1" x14ac:dyDescent="0.25">
      <c r="A8" s="14" t="s">
        <v>3665</v>
      </c>
      <c r="B8" s="13" t="s">
        <v>3666</v>
      </c>
      <c r="C8" s="13"/>
      <c r="D8" s="13"/>
      <c r="E8" s="13"/>
      <c r="F8" s="13" t="s">
        <v>3666</v>
      </c>
      <c r="G8" s="13"/>
      <c r="H8" s="13"/>
      <c r="I8" s="13"/>
      <c r="J8" s="13" t="s">
        <v>3666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 t="s">
        <v>3666</v>
      </c>
      <c r="AA8" s="17"/>
      <c r="AB8" s="13"/>
      <c r="AC8" s="13"/>
      <c r="AD8" s="13" t="s">
        <v>3666</v>
      </c>
      <c r="AE8" s="13"/>
      <c r="AF8" t="s">
        <v>3597</v>
      </c>
    </row>
    <row r="9" spans="1:32" ht="36" customHeight="1" x14ac:dyDescent="0.25">
      <c r="A9" s="14" t="s">
        <v>3678</v>
      </c>
      <c r="B9" s="13" t="s">
        <v>3599</v>
      </c>
      <c r="C9" s="13" t="s">
        <v>3600</v>
      </c>
      <c r="D9" s="13" t="s">
        <v>3601</v>
      </c>
      <c r="E9" s="13" t="s">
        <v>3602</v>
      </c>
      <c r="F9" s="13" t="s">
        <v>3603</v>
      </c>
      <c r="G9" s="13" t="s">
        <v>3604</v>
      </c>
      <c r="H9" s="13" t="s">
        <v>3605</v>
      </c>
      <c r="I9" s="13" t="s">
        <v>3606</v>
      </c>
      <c r="J9" s="13" t="s">
        <v>3607</v>
      </c>
      <c r="K9" s="13" t="s">
        <v>3608</v>
      </c>
      <c r="L9" s="13" t="s">
        <v>3609</v>
      </c>
      <c r="M9" s="13" t="s">
        <v>3610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 t="s">
        <v>3611</v>
      </c>
      <c r="AA9" s="17" t="s">
        <v>215</v>
      </c>
      <c r="AB9" s="13" t="s">
        <v>3613</v>
      </c>
      <c r="AC9" s="13"/>
      <c r="AD9" s="13" t="s">
        <v>3614</v>
      </c>
      <c r="AE9" s="13"/>
      <c r="AF9" t="s">
        <v>3597</v>
      </c>
    </row>
    <row r="10" spans="1:32" ht="36" customHeight="1" x14ac:dyDescent="0.25">
      <c r="A10" s="14" t="s">
        <v>3679</v>
      </c>
      <c r="B10" s="13" t="s">
        <v>3599</v>
      </c>
      <c r="C10" s="13" t="s">
        <v>3600</v>
      </c>
      <c r="D10" s="13" t="s">
        <v>3601</v>
      </c>
      <c r="E10" s="13" t="s">
        <v>3602</v>
      </c>
      <c r="F10" s="13" t="s">
        <v>3603</v>
      </c>
      <c r="G10" s="13" t="s">
        <v>3604</v>
      </c>
      <c r="H10" s="13" t="s">
        <v>3605</v>
      </c>
      <c r="I10" s="13" t="s">
        <v>3606</v>
      </c>
      <c r="J10" s="13" t="s">
        <v>3607</v>
      </c>
      <c r="K10" s="13" t="s">
        <v>3608</v>
      </c>
      <c r="L10" s="13" t="s">
        <v>3609</v>
      </c>
      <c r="M10" s="13" t="s">
        <v>3610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 t="s">
        <v>3611</v>
      </c>
      <c r="AA10" s="17" t="s">
        <v>3680</v>
      </c>
      <c r="AB10" s="13" t="s">
        <v>3613</v>
      </c>
      <c r="AC10" s="13"/>
      <c r="AD10" s="13" t="s">
        <v>3614</v>
      </c>
      <c r="AE10" s="13"/>
      <c r="AF10" t="s">
        <v>3615</v>
      </c>
    </row>
    <row r="11" spans="1:32" ht="36" customHeight="1" x14ac:dyDescent="0.25">
      <c r="A11" s="14" t="s">
        <v>3664</v>
      </c>
      <c r="B11" s="13" t="s">
        <v>215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215</v>
      </c>
      <c r="AB11" s="13"/>
      <c r="AC11" s="13"/>
      <c r="AD11" s="13"/>
      <c r="AE11" s="13"/>
      <c r="AF11" t="s">
        <v>1346</v>
      </c>
    </row>
    <row r="12" spans="1:32" ht="23.1" customHeight="1" x14ac:dyDescent="0.25">
      <c r="A12" s="15" t="s">
        <v>3681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3682</v>
      </c>
      <c r="B13" s="13" t="s">
        <v>3617</v>
      </c>
      <c r="C13" s="13"/>
      <c r="D13" s="13"/>
      <c r="E13" s="13"/>
      <c r="F13" s="13"/>
      <c r="G13" s="13" t="s">
        <v>3618</v>
      </c>
      <c r="H13" s="13"/>
      <c r="I13" s="13" t="s">
        <v>228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 t="s">
        <v>3619</v>
      </c>
      <c r="AA13" s="17" t="s">
        <v>215</v>
      </c>
      <c r="AB13" s="13"/>
      <c r="AC13" s="13"/>
      <c r="AD13" s="13" t="s">
        <v>3621</v>
      </c>
      <c r="AE13" s="13"/>
      <c r="AF13" t="s">
        <v>3622</v>
      </c>
    </row>
    <row r="14" spans="1:32" ht="36" customHeight="1" x14ac:dyDescent="0.25">
      <c r="A14" s="14" t="s">
        <v>3683</v>
      </c>
      <c r="B14" s="13" t="s">
        <v>3617</v>
      </c>
      <c r="C14" s="13"/>
      <c r="D14" s="13"/>
      <c r="E14" s="13"/>
      <c r="F14" s="13"/>
      <c r="G14" s="13" t="s">
        <v>3618</v>
      </c>
      <c r="H14" s="13"/>
      <c r="I14" s="13" t="s">
        <v>228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 t="s">
        <v>3619</v>
      </c>
      <c r="AA14" s="17" t="s">
        <v>215</v>
      </c>
      <c r="AB14" s="13"/>
      <c r="AC14" s="13"/>
      <c r="AD14" s="13" t="s">
        <v>3621</v>
      </c>
      <c r="AE14" s="13"/>
      <c r="AF14" t="s">
        <v>3622</v>
      </c>
    </row>
    <row r="15" spans="1:32" ht="36" customHeight="1" x14ac:dyDescent="0.25">
      <c r="A15" s="14" t="s">
        <v>3684</v>
      </c>
      <c r="B15" s="13" t="s">
        <v>215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/>
      <c r="AB15" s="13"/>
      <c r="AC15" s="13"/>
      <c r="AD15" s="13"/>
      <c r="AE15" s="13"/>
      <c r="AF15" t="s">
        <v>3685</v>
      </c>
    </row>
    <row r="16" spans="1:32" ht="36" customHeight="1" x14ac:dyDescent="0.25">
      <c r="A16" s="14" t="s">
        <v>3667</v>
      </c>
      <c r="B16" s="13" t="s">
        <v>215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/>
      <c r="AB16" s="13"/>
      <c r="AC16" s="13"/>
      <c r="AD16" s="13"/>
      <c r="AE16" s="13"/>
      <c r="AF16" t="s">
        <v>1346</v>
      </c>
    </row>
    <row r="17" spans="1:32" ht="36" customHeight="1" x14ac:dyDescent="0.25">
      <c r="A17" s="14" t="s">
        <v>3668</v>
      </c>
      <c r="B17" s="13" t="s">
        <v>3645</v>
      </c>
      <c r="C17" s="13"/>
      <c r="D17" s="13"/>
      <c r="E17" s="13"/>
      <c r="F17" s="13"/>
      <c r="G17" s="13" t="s">
        <v>2122</v>
      </c>
      <c r="H17" s="13"/>
      <c r="I17" s="13" t="s">
        <v>3646</v>
      </c>
      <c r="J17" s="13" t="s">
        <v>3647</v>
      </c>
      <c r="K17" s="13" t="s">
        <v>3648</v>
      </c>
      <c r="L17" s="13" t="s">
        <v>3649</v>
      </c>
      <c r="M17" s="13" t="s">
        <v>3650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 t="s">
        <v>3651</v>
      </c>
      <c r="AA17" s="17" t="s">
        <v>215</v>
      </c>
      <c r="AB17" s="13"/>
      <c r="AC17" s="13"/>
      <c r="AD17" s="13"/>
      <c r="AE17" s="13"/>
      <c r="AF17" t="s">
        <v>1346</v>
      </c>
    </row>
    <row r="18" spans="1:32" ht="36" customHeight="1" x14ac:dyDescent="0.25">
      <c r="A18" s="14" t="s">
        <v>3669</v>
      </c>
      <c r="B18" s="13" t="s">
        <v>3645</v>
      </c>
      <c r="C18" s="13"/>
      <c r="D18" s="13"/>
      <c r="E18" s="13"/>
      <c r="F18" s="13"/>
      <c r="G18" s="13" t="s">
        <v>2122</v>
      </c>
      <c r="H18" s="13"/>
      <c r="I18" s="13" t="s">
        <v>3646</v>
      </c>
      <c r="J18" s="13" t="s">
        <v>3647</v>
      </c>
      <c r="K18" s="13" t="s">
        <v>3648</v>
      </c>
      <c r="L18" s="13" t="s">
        <v>3649</v>
      </c>
      <c r="M18" s="13" t="s">
        <v>3650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 t="s">
        <v>3651</v>
      </c>
      <c r="AA18" s="17" t="s">
        <v>215</v>
      </c>
      <c r="AB18" s="13"/>
      <c r="AC18" s="13"/>
      <c r="AD18" s="13"/>
      <c r="AE18" s="13"/>
      <c r="AF18" t="s">
        <v>1346</v>
      </c>
    </row>
    <row r="19" spans="1:32" ht="23.1" customHeight="1" x14ac:dyDescent="0.25">
      <c r="A19" s="15" t="s">
        <v>3686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5"/>
      <c r="AC19" s="15"/>
      <c r="AD19" s="15"/>
      <c r="AE19" s="15"/>
    </row>
    <row r="20" spans="1:32" ht="36" customHeight="1" x14ac:dyDescent="0.25">
      <c r="A20" s="14" t="s">
        <v>3687</v>
      </c>
      <c r="B20" s="13"/>
      <c r="C20" s="13"/>
      <c r="D20" s="13" t="s">
        <v>3653</v>
      </c>
      <c r="E20" s="13"/>
      <c r="F20" s="13" t="s">
        <v>3654</v>
      </c>
      <c r="G20" s="13" t="s">
        <v>2122</v>
      </c>
      <c r="H20" s="13"/>
      <c r="I20" s="13" t="s">
        <v>3655</v>
      </c>
      <c r="J20" s="13" t="s">
        <v>3655</v>
      </c>
      <c r="K20" s="13" t="s">
        <v>3656</v>
      </c>
      <c r="L20" s="13" t="s">
        <v>3657</v>
      </c>
      <c r="M20" s="13" t="s">
        <v>3657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 t="s">
        <v>3658</v>
      </c>
      <c r="AA20" s="17" t="s">
        <v>3688</v>
      </c>
      <c r="AB20" s="13" t="s">
        <v>3660</v>
      </c>
      <c r="AC20" s="13"/>
      <c r="AD20" s="13" t="s">
        <v>3661</v>
      </c>
      <c r="AE20" s="13"/>
      <c r="AF20" t="s">
        <v>3662</v>
      </c>
    </row>
    <row r="21" spans="1:32" ht="36" customHeight="1" x14ac:dyDescent="0.25">
      <c r="A21" s="14" t="s">
        <v>3689</v>
      </c>
      <c r="B21" s="13"/>
      <c r="C21" s="13"/>
      <c r="D21" s="13" t="s">
        <v>3653</v>
      </c>
      <c r="E21" s="13"/>
      <c r="F21" s="13" t="s">
        <v>3654</v>
      </c>
      <c r="G21" s="13" t="s">
        <v>2122</v>
      </c>
      <c r="H21" s="13"/>
      <c r="I21" s="13" t="s">
        <v>3655</v>
      </c>
      <c r="J21" s="13" t="s">
        <v>3655</v>
      </c>
      <c r="K21" s="13" t="s">
        <v>3656</v>
      </c>
      <c r="L21" s="13" t="s">
        <v>3657</v>
      </c>
      <c r="M21" s="13" t="s">
        <v>3657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 t="s">
        <v>3658</v>
      </c>
      <c r="AA21" s="17" t="s">
        <v>3690</v>
      </c>
      <c r="AB21" s="13" t="s">
        <v>3660</v>
      </c>
      <c r="AC21" s="13"/>
      <c r="AD21" s="13" t="s">
        <v>3661</v>
      </c>
      <c r="AE21" s="13"/>
      <c r="AF21" t="s">
        <v>3662</v>
      </c>
    </row>
    <row r="22" spans="1:32" ht="36" customHeight="1" x14ac:dyDescent="0.25">
      <c r="A22" s="14" t="s">
        <v>3691</v>
      </c>
      <c r="B22" s="13" t="s">
        <v>215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5857</v>
      </c>
      <c r="AB22" s="13"/>
      <c r="AC22" s="13"/>
      <c r="AD22" s="13"/>
      <c r="AE22" s="13"/>
      <c r="AF22" t="s">
        <v>1346</v>
      </c>
    </row>
    <row r="23" spans="1:32" ht="36" customHeight="1" x14ac:dyDescent="0.25">
      <c r="A23" s="14" t="s">
        <v>3692</v>
      </c>
      <c r="B23" s="13" t="s">
        <v>3633</v>
      </c>
      <c r="C23" s="13"/>
      <c r="D23" s="13"/>
      <c r="E23" s="13"/>
      <c r="F23" s="13"/>
      <c r="G23" s="13" t="s">
        <v>1030</v>
      </c>
      <c r="H23" s="13"/>
      <c r="I23" s="13" t="s">
        <v>3634</v>
      </c>
      <c r="J23" s="13" t="s">
        <v>3635</v>
      </c>
      <c r="K23" s="13" t="s">
        <v>3636</v>
      </c>
      <c r="L23" s="13" t="s">
        <v>3637</v>
      </c>
      <c r="M23" s="13" t="s">
        <v>3638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 t="s">
        <v>3639</v>
      </c>
      <c r="AA23" s="17" t="s">
        <v>215</v>
      </c>
      <c r="AB23" s="13" t="s">
        <v>3641</v>
      </c>
      <c r="AC23" s="13"/>
      <c r="AD23" s="13" t="s">
        <v>3642</v>
      </c>
      <c r="AE23" s="13"/>
      <c r="AF23" t="s">
        <v>3643</v>
      </c>
    </row>
    <row r="24" spans="1:32" ht="36" customHeight="1" x14ac:dyDescent="0.25">
      <c r="A24" s="14" t="s">
        <v>3693</v>
      </c>
      <c r="B24" s="13" t="s">
        <v>3624</v>
      </c>
      <c r="C24" s="13"/>
      <c r="D24" s="13"/>
      <c r="E24" s="13"/>
      <c r="F24" s="13"/>
      <c r="G24" s="13" t="s">
        <v>1030</v>
      </c>
      <c r="H24" s="13"/>
      <c r="I24" s="13" t="s">
        <v>3625</v>
      </c>
      <c r="J24" s="13" t="s">
        <v>3626</v>
      </c>
      <c r="K24" s="13" t="s">
        <v>3627</v>
      </c>
      <c r="L24" s="13" t="s">
        <v>3628</v>
      </c>
      <c r="M24" s="13" t="s">
        <v>3629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 t="s">
        <v>3227</v>
      </c>
      <c r="AA24" s="17"/>
      <c r="AB24" s="13" t="s">
        <v>3630</v>
      </c>
      <c r="AC24" s="13"/>
      <c r="AD24" s="13"/>
      <c r="AE24" s="13"/>
      <c r="AF24" t="s">
        <v>3631</v>
      </c>
    </row>
    <row r="25" spans="1:32" ht="36" customHeight="1" x14ac:dyDescent="0.25">
      <c r="A25" s="14" t="s">
        <v>3694</v>
      </c>
      <c r="B25" s="13" t="s">
        <v>3633</v>
      </c>
      <c r="C25" s="13"/>
      <c r="D25" s="13"/>
      <c r="E25" s="13"/>
      <c r="F25" s="13"/>
      <c r="G25" s="13" t="s">
        <v>1030</v>
      </c>
      <c r="H25" s="13"/>
      <c r="I25" s="13" t="s">
        <v>3634</v>
      </c>
      <c r="J25" s="13" t="s">
        <v>3635</v>
      </c>
      <c r="K25" s="13" t="s">
        <v>3636</v>
      </c>
      <c r="L25" s="13" t="s">
        <v>3637</v>
      </c>
      <c r="M25" s="13" t="s">
        <v>3638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 t="s">
        <v>3639</v>
      </c>
      <c r="AA25" s="17" t="s">
        <v>215</v>
      </c>
      <c r="AB25" s="13" t="s">
        <v>3641</v>
      </c>
      <c r="AC25" s="13"/>
      <c r="AD25" s="13" t="s">
        <v>3642</v>
      </c>
      <c r="AE25" s="13"/>
      <c r="AF25" t="s">
        <v>3643</v>
      </c>
    </row>
    <row r="26" spans="1:32" ht="23.1" customHeight="1" x14ac:dyDescent="0.25">
      <c r="A26" s="15" t="s">
        <v>3695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  <c r="AB26" s="15"/>
      <c r="AC26" s="15"/>
      <c r="AD26" s="15"/>
      <c r="AE26" s="15"/>
    </row>
    <row r="27" spans="1:32" ht="36" customHeight="1" x14ac:dyDescent="0.25">
      <c r="A27" s="14" t="s">
        <v>3670</v>
      </c>
      <c r="B27" s="13" t="s">
        <v>215</v>
      </c>
      <c r="C27" s="13" t="s">
        <v>215</v>
      </c>
      <c r="D27" s="13" t="s">
        <v>215</v>
      </c>
      <c r="E27" s="13" t="s">
        <v>215</v>
      </c>
      <c r="F27" s="13" t="s">
        <v>215</v>
      </c>
      <c r="G27" s="13" t="s">
        <v>215</v>
      </c>
      <c r="H27" s="13" t="s">
        <v>215</v>
      </c>
      <c r="I27" s="13" t="s">
        <v>215</v>
      </c>
      <c r="J27" s="13" t="s">
        <v>215</v>
      </c>
      <c r="K27" s="13" t="s">
        <v>215</v>
      </c>
      <c r="L27" s="13" t="s">
        <v>215</v>
      </c>
      <c r="M27" s="13" t="s">
        <v>215</v>
      </c>
      <c r="N27" s="13" t="s">
        <v>215</v>
      </c>
      <c r="O27" s="13" t="s">
        <v>215</v>
      </c>
      <c r="P27" s="13" t="s">
        <v>215</v>
      </c>
      <c r="Q27" s="13" t="s">
        <v>215</v>
      </c>
      <c r="R27" s="13" t="s">
        <v>215</v>
      </c>
      <c r="S27" s="13" t="s">
        <v>215</v>
      </c>
      <c r="T27" s="13" t="s">
        <v>215</v>
      </c>
      <c r="U27" s="13" t="s">
        <v>215</v>
      </c>
      <c r="V27" s="13" t="s">
        <v>215</v>
      </c>
      <c r="W27" s="13" t="s">
        <v>215</v>
      </c>
      <c r="X27" s="13" t="s">
        <v>215</v>
      </c>
      <c r="Y27" s="13" t="s">
        <v>215</v>
      </c>
      <c r="Z27" s="13" t="s">
        <v>215</v>
      </c>
      <c r="AA27" s="17" t="s">
        <v>215</v>
      </c>
      <c r="AB27" s="13" t="s">
        <v>215</v>
      </c>
      <c r="AC27" s="13" t="s">
        <v>215</v>
      </c>
      <c r="AD27" s="13" t="s">
        <v>215</v>
      </c>
      <c r="AE27" s="13" t="s">
        <v>215</v>
      </c>
      <c r="AF27" t="s">
        <v>215</v>
      </c>
    </row>
    <row r="28" spans="1:32" ht="36" customHeight="1" x14ac:dyDescent="0.25">
      <c r="A28" s="14" t="s">
        <v>3671</v>
      </c>
      <c r="B28" s="13" t="s">
        <v>215</v>
      </c>
      <c r="C28" s="13" t="s">
        <v>215</v>
      </c>
      <c r="D28" s="13" t="s">
        <v>215</v>
      </c>
      <c r="E28" s="13" t="s">
        <v>215</v>
      </c>
      <c r="F28" s="13" t="s">
        <v>215</v>
      </c>
      <c r="G28" s="13" t="s">
        <v>215</v>
      </c>
      <c r="H28" s="13" t="s">
        <v>215</v>
      </c>
      <c r="I28" s="13" t="s">
        <v>215</v>
      </c>
      <c r="J28" s="13" t="s">
        <v>215</v>
      </c>
      <c r="K28" s="13" t="s">
        <v>215</v>
      </c>
      <c r="L28" s="13" t="s">
        <v>215</v>
      </c>
      <c r="M28" s="13" t="s">
        <v>215</v>
      </c>
      <c r="N28" s="13" t="s">
        <v>215</v>
      </c>
      <c r="O28" s="13" t="s">
        <v>215</v>
      </c>
      <c r="P28" s="13" t="s">
        <v>215</v>
      </c>
      <c r="Q28" s="13" t="s">
        <v>215</v>
      </c>
      <c r="R28" s="13" t="s">
        <v>215</v>
      </c>
      <c r="S28" s="13" t="s">
        <v>215</v>
      </c>
      <c r="T28" s="13" t="s">
        <v>215</v>
      </c>
      <c r="U28" s="13" t="s">
        <v>215</v>
      </c>
      <c r="V28" s="13" t="s">
        <v>215</v>
      </c>
      <c r="W28" s="13" t="s">
        <v>215</v>
      </c>
      <c r="X28" s="13" t="s">
        <v>215</v>
      </c>
      <c r="Y28" s="13" t="s">
        <v>215</v>
      </c>
      <c r="Z28" s="13" t="s">
        <v>215</v>
      </c>
      <c r="AA28" s="17" t="s">
        <v>215</v>
      </c>
      <c r="AB28" s="13" t="s">
        <v>215</v>
      </c>
      <c r="AC28" s="13" t="s">
        <v>215</v>
      </c>
      <c r="AD28" s="13" t="s">
        <v>215</v>
      </c>
      <c r="AE28" s="13" t="s">
        <v>215</v>
      </c>
      <c r="AF28" t="s">
        <v>215</v>
      </c>
    </row>
    <row r="29" spans="1:32" ht="36" customHeight="1" x14ac:dyDescent="0.25">
      <c r="A29" s="14" t="s">
        <v>3672</v>
      </c>
      <c r="B29" s="13" t="s">
        <v>215</v>
      </c>
      <c r="C29" s="13"/>
      <c r="D29" s="13"/>
      <c r="E29" s="13"/>
      <c r="F29" s="13"/>
      <c r="G29" s="13"/>
      <c r="H29" s="13"/>
      <c r="I29" s="13" t="s">
        <v>215</v>
      </c>
      <c r="J29" s="13" t="s">
        <v>215</v>
      </c>
      <c r="K29" s="13"/>
      <c r="L29" s="13" t="s">
        <v>215</v>
      </c>
      <c r="M29" s="13" t="s">
        <v>215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7" t="s">
        <v>215</v>
      </c>
      <c r="AB29" s="13"/>
      <c r="AC29" s="13"/>
      <c r="AD29" s="13"/>
      <c r="AE29" s="13"/>
      <c r="AF29" t="s">
        <v>215</v>
      </c>
    </row>
    <row r="30" spans="1:32" ht="36" customHeight="1" x14ac:dyDescent="0.25">
      <c r="A30" s="14" t="s">
        <v>3696</v>
      </c>
      <c r="B30" s="13" t="s">
        <v>215</v>
      </c>
      <c r="C30" s="13" t="s">
        <v>215</v>
      </c>
      <c r="D30" s="13" t="s">
        <v>215</v>
      </c>
      <c r="E30" s="13" t="s">
        <v>215</v>
      </c>
      <c r="F30" s="13" t="s">
        <v>215</v>
      </c>
      <c r="G30" s="13" t="s">
        <v>215</v>
      </c>
      <c r="H30" s="13" t="s">
        <v>215</v>
      </c>
      <c r="I30" s="13" t="s">
        <v>3697</v>
      </c>
      <c r="J30" s="13" t="s">
        <v>215</v>
      </c>
      <c r="K30" s="13" t="s">
        <v>215</v>
      </c>
      <c r="L30" s="13" t="s">
        <v>215</v>
      </c>
      <c r="M30" s="13" t="s">
        <v>215</v>
      </c>
      <c r="N30" s="13" t="s">
        <v>215</v>
      </c>
      <c r="O30" s="13" t="s">
        <v>215</v>
      </c>
      <c r="P30" s="13" t="s">
        <v>215</v>
      </c>
      <c r="Q30" s="13" t="s">
        <v>215</v>
      </c>
      <c r="R30" s="13" t="s">
        <v>215</v>
      </c>
      <c r="S30" s="13" t="s">
        <v>215</v>
      </c>
      <c r="T30" s="13" t="s">
        <v>215</v>
      </c>
      <c r="U30" s="13" t="s">
        <v>215</v>
      </c>
      <c r="V30" s="13" t="s">
        <v>215</v>
      </c>
      <c r="W30" s="13" t="s">
        <v>215</v>
      </c>
      <c r="X30" s="13" t="s">
        <v>215</v>
      </c>
      <c r="Y30" s="13" t="s">
        <v>215</v>
      </c>
      <c r="Z30" s="13" t="s">
        <v>215</v>
      </c>
      <c r="AA30" s="17" t="s">
        <v>215</v>
      </c>
      <c r="AB30" s="13" t="s">
        <v>215</v>
      </c>
      <c r="AC30" s="13" t="s">
        <v>215</v>
      </c>
      <c r="AD30" s="13" t="s">
        <v>215</v>
      </c>
      <c r="AE30" s="13" t="s">
        <v>215</v>
      </c>
      <c r="AF30" t="s">
        <v>215</v>
      </c>
    </row>
    <row r="31" spans="1:32" ht="23.1" customHeight="1" x14ac:dyDescent="0.25">
      <c r="A31" s="15" t="s">
        <v>3698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15"/>
      <c r="AC31" s="15"/>
      <c r="AD31" s="15"/>
      <c r="AE31" s="15"/>
      <c r="AF31" t="s">
        <v>3699</v>
      </c>
    </row>
    <row r="32" spans="1:32" ht="23.1" customHeight="1" x14ac:dyDescent="0.25">
      <c r="A32" s="15" t="s">
        <v>1623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5"/>
      <c r="AC32" s="15"/>
      <c r="AD32" s="15"/>
      <c r="AE32" s="15"/>
    </row>
    <row r="33" spans="1:32" ht="36" customHeight="1" x14ac:dyDescent="0.25">
      <c r="A33" s="14" t="s">
        <v>3700</v>
      </c>
      <c r="B33" s="13"/>
      <c r="C33" s="13"/>
      <c r="D33" s="13"/>
      <c r="E33" s="13"/>
      <c r="F33" s="13"/>
      <c r="G33" s="13" t="s">
        <v>3701</v>
      </c>
      <c r="H33" s="13"/>
      <c r="I33" s="13" t="s">
        <v>3702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 t="s">
        <v>3703</v>
      </c>
      <c r="AA33" s="17" t="s">
        <v>5857</v>
      </c>
      <c r="AB33" s="13"/>
      <c r="AC33" s="13"/>
      <c r="AD33" s="13" t="s">
        <v>3704</v>
      </c>
      <c r="AE33" s="13"/>
      <c r="AF33" t="s">
        <v>3705</v>
      </c>
    </row>
    <row r="34" spans="1:32" ht="23.1" customHeight="1" x14ac:dyDescent="0.25">
      <c r="A34" s="15" t="s">
        <v>3706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15"/>
      <c r="AC34" s="15"/>
      <c r="AD34" s="15"/>
      <c r="AE34" s="15"/>
    </row>
    <row r="35" spans="1:32" ht="36" customHeight="1" x14ac:dyDescent="0.25">
      <c r="A35" s="14" t="s">
        <v>3707</v>
      </c>
      <c r="B35" s="13" t="s">
        <v>3708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3709</v>
      </c>
      <c r="AB35" s="13"/>
      <c r="AC35" s="13"/>
      <c r="AD35" s="13"/>
      <c r="AE35" s="13"/>
      <c r="AF35" t="s">
        <v>1346</v>
      </c>
    </row>
    <row r="36" spans="1:32" ht="36" customHeight="1" x14ac:dyDescent="0.25">
      <c r="A36" s="14" t="s">
        <v>3710</v>
      </c>
      <c r="B36" s="13" t="s">
        <v>3711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3712</v>
      </c>
      <c r="AB36" s="13"/>
      <c r="AC36" s="13"/>
      <c r="AD36" s="13"/>
      <c r="AE36" s="13"/>
      <c r="AF36" t="s">
        <v>3713</v>
      </c>
    </row>
    <row r="37" spans="1:32" ht="36" customHeight="1" x14ac:dyDescent="0.25">
      <c r="A37" s="14" t="s">
        <v>3714</v>
      </c>
      <c r="B37" s="13" t="s">
        <v>3715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 t="s">
        <v>215</v>
      </c>
      <c r="AB37" s="13"/>
      <c r="AC37" s="13"/>
      <c r="AD37" s="13"/>
      <c r="AE37" s="13"/>
      <c r="AF37" t="s">
        <v>1346</v>
      </c>
    </row>
    <row r="38" spans="1:32" ht="36" customHeight="1" x14ac:dyDescent="0.25">
      <c r="A38" s="14" t="s">
        <v>3716</v>
      </c>
      <c r="B38" s="13" t="s">
        <v>3717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 t="s">
        <v>3718</v>
      </c>
      <c r="AB38" s="13"/>
      <c r="AC38" s="13"/>
      <c r="AD38" s="13"/>
      <c r="AE38" s="13"/>
      <c r="AF38" t="s">
        <v>3719</v>
      </c>
    </row>
    <row r="39" spans="1:32" ht="36" customHeight="1" x14ac:dyDescent="0.25">
      <c r="A39" s="14" t="s">
        <v>3720</v>
      </c>
      <c r="B39" s="13" t="s">
        <v>1378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7" t="s">
        <v>3721</v>
      </c>
      <c r="AB39" s="13"/>
      <c r="AC39" s="13"/>
      <c r="AD39" s="13"/>
      <c r="AE39" s="13"/>
      <c r="AF39" t="s">
        <v>1346</v>
      </c>
    </row>
  </sheetData>
  <mergeCells count="1">
    <mergeCell ref="A1:A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15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6" sqref="AA6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Directory'!A1","Project Origin &amp; Longevity"),"Project Origin &amp; Longevity")</f>
        <v>Project Origin &amp; Longevity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103</v>
      </c>
      <c r="B3" s="13" t="s">
        <v>104</v>
      </c>
      <c r="C3" s="13" t="s">
        <v>105</v>
      </c>
      <c r="D3" s="13" t="s">
        <v>106</v>
      </c>
      <c r="E3" s="13" t="s">
        <v>107</v>
      </c>
      <c r="F3" s="13"/>
      <c r="G3" s="13" t="s">
        <v>108</v>
      </c>
      <c r="H3" s="13" t="s">
        <v>109</v>
      </c>
      <c r="I3" s="13" t="s">
        <v>110</v>
      </c>
      <c r="J3" s="13" t="s">
        <v>111</v>
      </c>
      <c r="K3" s="13" t="s">
        <v>112</v>
      </c>
      <c r="L3" s="13" t="s">
        <v>113</v>
      </c>
      <c r="M3" s="13" t="s">
        <v>113</v>
      </c>
      <c r="N3" s="13" t="s">
        <v>114</v>
      </c>
      <c r="O3" s="13"/>
      <c r="P3" s="13" t="s">
        <v>115</v>
      </c>
      <c r="Q3" s="13" t="s">
        <v>116</v>
      </c>
      <c r="R3" s="13" t="s">
        <v>117</v>
      </c>
      <c r="S3" s="13"/>
      <c r="T3" s="13"/>
      <c r="U3" s="13" t="s">
        <v>116</v>
      </c>
      <c r="V3" s="13" t="s">
        <v>118</v>
      </c>
      <c r="W3" s="13"/>
      <c r="X3" s="13" t="s">
        <v>116</v>
      </c>
      <c r="Y3" s="13" t="s">
        <v>119</v>
      </c>
      <c r="Z3" s="13" t="s">
        <v>120</v>
      </c>
      <c r="AA3" s="17" t="s">
        <v>121</v>
      </c>
      <c r="AB3" s="13" t="s">
        <v>121</v>
      </c>
      <c r="AC3" s="13" t="s">
        <v>121</v>
      </c>
      <c r="AD3" s="13"/>
      <c r="AE3" s="13" t="s">
        <v>122</v>
      </c>
      <c r="AF3" t="s">
        <v>123</v>
      </c>
    </row>
    <row r="4" spans="1:32" ht="36" customHeight="1" x14ac:dyDescent="0.25">
      <c r="A4" s="14" t="s">
        <v>1054</v>
      </c>
      <c r="B4" s="13" t="s">
        <v>1055</v>
      </c>
      <c r="C4" s="13"/>
      <c r="D4" s="13" t="s">
        <v>1056</v>
      </c>
      <c r="E4" s="13" t="s">
        <v>1057</v>
      </c>
      <c r="F4" s="13"/>
      <c r="G4" s="13" t="s">
        <v>1058</v>
      </c>
      <c r="H4" s="13"/>
      <c r="I4" s="13"/>
      <c r="J4" s="13" t="s">
        <v>1059</v>
      </c>
      <c r="K4" s="13" t="s">
        <v>1060</v>
      </c>
      <c r="L4" s="13" t="s">
        <v>113</v>
      </c>
      <c r="M4" s="13" t="s">
        <v>113</v>
      </c>
      <c r="N4" s="13" t="s">
        <v>1061</v>
      </c>
      <c r="O4" s="13"/>
      <c r="P4" s="13" t="s">
        <v>1062</v>
      </c>
      <c r="Q4" s="13" t="s">
        <v>1063</v>
      </c>
      <c r="R4" s="13" t="s">
        <v>1064</v>
      </c>
      <c r="S4" s="13"/>
      <c r="T4" s="13" t="s">
        <v>1065</v>
      </c>
      <c r="U4" s="13" t="s">
        <v>1066</v>
      </c>
      <c r="V4" s="13" t="s">
        <v>1067</v>
      </c>
      <c r="W4" s="13" t="s">
        <v>1068</v>
      </c>
      <c r="X4" s="13" t="s">
        <v>1069</v>
      </c>
      <c r="Y4" s="13" t="s">
        <v>1070</v>
      </c>
      <c r="Z4" s="13" t="s">
        <v>1071</v>
      </c>
      <c r="AA4" s="17" t="s">
        <v>5828</v>
      </c>
      <c r="AB4" s="13" t="s">
        <v>1073</v>
      </c>
      <c r="AC4" s="13" t="s">
        <v>1072</v>
      </c>
      <c r="AD4" s="13" t="s">
        <v>1074</v>
      </c>
      <c r="AE4" s="13" t="s">
        <v>1073</v>
      </c>
      <c r="AF4" t="s">
        <v>1075</v>
      </c>
    </row>
    <row r="5" spans="1:32" ht="36" customHeight="1" x14ac:dyDescent="0.25">
      <c r="A5" s="14" t="s">
        <v>3722</v>
      </c>
      <c r="B5" s="13" t="s">
        <v>3723</v>
      </c>
      <c r="C5" s="13" t="s">
        <v>3724</v>
      </c>
      <c r="D5" s="13" t="s">
        <v>3725</v>
      </c>
      <c r="E5" s="13" t="s">
        <v>3726</v>
      </c>
      <c r="F5" s="13"/>
      <c r="G5" s="13" t="s">
        <v>3727</v>
      </c>
      <c r="H5" s="13" t="s">
        <v>3724</v>
      </c>
      <c r="I5" s="13" t="s">
        <v>3728</v>
      </c>
      <c r="J5" s="13" t="s">
        <v>3729</v>
      </c>
      <c r="K5" s="13" t="s">
        <v>3730</v>
      </c>
      <c r="L5" s="13" t="s">
        <v>3731</v>
      </c>
      <c r="M5" s="13" t="s">
        <v>3731</v>
      </c>
      <c r="N5" s="13" t="s">
        <v>3732</v>
      </c>
      <c r="O5" s="13"/>
      <c r="P5" s="13" t="s">
        <v>3733</v>
      </c>
      <c r="Q5" s="13" t="s">
        <v>3732</v>
      </c>
      <c r="R5" s="13" t="s">
        <v>3732</v>
      </c>
      <c r="S5" s="13"/>
      <c r="T5" s="13"/>
      <c r="U5" s="13" t="s">
        <v>3732</v>
      </c>
      <c r="V5" s="13" t="s">
        <v>3732</v>
      </c>
      <c r="W5" s="13"/>
      <c r="X5" s="13" t="s">
        <v>3732</v>
      </c>
      <c r="Y5" s="13" t="s">
        <v>3732</v>
      </c>
      <c r="Z5" s="13" t="s">
        <v>3734</v>
      </c>
      <c r="AA5" s="17" t="s">
        <v>5858</v>
      </c>
      <c r="AB5" s="13" t="s">
        <v>3732</v>
      </c>
      <c r="AC5" s="13" t="s">
        <v>3732</v>
      </c>
      <c r="AD5" s="13"/>
      <c r="AE5" s="13" t="s">
        <v>3735</v>
      </c>
    </row>
    <row r="6" spans="1:32" ht="36" customHeight="1" x14ac:dyDescent="0.25">
      <c r="A6" s="14" t="s">
        <v>1076</v>
      </c>
      <c r="B6" s="13" t="s">
        <v>125</v>
      </c>
      <c r="C6" s="13" t="s">
        <v>126</v>
      </c>
      <c r="D6" s="13" t="s">
        <v>127</v>
      </c>
      <c r="E6" s="13" t="s">
        <v>128</v>
      </c>
      <c r="F6" s="13" t="s">
        <v>129</v>
      </c>
      <c r="G6" s="13" t="s">
        <v>130</v>
      </c>
      <c r="H6" s="13" t="s">
        <v>131</v>
      </c>
      <c r="I6" s="13" t="s">
        <v>125</v>
      </c>
      <c r="J6" s="13" t="s">
        <v>132</v>
      </c>
      <c r="K6" s="13" t="s">
        <v>125</v>
      </c>
      <c r="L6" s="13" t="s">
        <v>125</v>
      </c>
      <c r="M6" s="13" t="s">
        <v>125</v>
      </c>
      <c r="N6" s="13" t="s">
        <v>133</v>
      </c>
      <c r="O6" s="13" t="s">
        <v>134</v>
      </c>
      <c r="P6" s="13" t="s">
        <v>128</v>
      </c>
      <c r="Q6" s="13" t="s">
        <v>133</v>
      </c>
      <c r="R6" s="13" t="s">
        <v>135</v>
      </c>
      <c r="S6" s="13" t="s">
        <v>134</v>
      </c>
      <c r="T6" s="13" t="s">
        <v>127</v>
      </c>
      <c r="U6" s="13" t="s">
        <v>129</v>
      </c>
      <c r="V6" s="13" t="s">
        <v>136</v>
      </c>
      <c r="W6" s="13" t="s">
        <v>137</v>
      </c>
      <c r="X6" s="13" t="s">
        <v>138</v>
      </c>
      <c r="Y6" s="13" t="s">
        <v>135</v>
      </c>
      <c r="Z6" s="13" t="s">
        <v>138</v>
      </c>
      <c r="AA6" s="17" t="s">
        <v>134</v>
      </c>
      <c r="AB6" s="13" t="s">
        <v>129</v>
      </c>
      <c r="AC6" s="13" t="s">
        <v>139</v>
      </c>
      <c r="AD6" s="13" t="s">
        <v>127</v>
      </c>
      <c r="AE6" s="13" t="s">
        <v>128</v>
      </c>
      <c r="AF6" t="s">
        <v>140</v>
      </c>
    </row>
    <row r="7" spans="1:32" ht="36" customHeight="1" x14ac:dyDescent="0.25">
      <c r="A7" s="14" t="s">
        <v>1077</v>
      </c>
      <c r="B7" s="13" t="s">
        <v>1078</v>
      </c>
      <c r="C7" s="13" t="s">
        <v>1079</v>
      </c>
      <c r="D7" s="13" t="s">
        <v>1080</v>
      </c>
      <c r="E7" s="13" t="s">
        <v>1079</v>
      </c>
      <c r="F7" s="13" t="s">
        <v>1079</v>
      </c>
      <c r="G7" s="13" t="s">
        <v>1081</v>
      </c>
      <c r="H7" s="13" t="s">
        <v>1079</v>
      </c>
      <c r="I7" s="13" t="s">
        <v>1079</v>
      </c>
      <c r="J7" s="13" t="s">
        <v>1079</v>
      </c>
      <c r="K7" s="13" t="s">
        <v>1079</v>
      </c>
      <c r="L7" s="13" t="s">
        <v>1079</v>
      </c>
      <c r="M7" s="13" t="s">
        <v>1079</v>
      </c>
      <c r="N7" s="13" t="s">
        <v>1079</v>
      </c>
      <c r="O7" s="13" t="s">
        <v>1079</v>
      </c>
      <c r="P7" s="13" t="s">
        <v>1079</v>
      </c>
      <c r="Q7" s="13" t="s">
        <v>1079</v>
      </c>
      <c r="R7" s="13" t="s">
        <v>1082</v>
      </c>
      <c r="S7" s="13" t="s">
        <v>1079</v>
      </c>
      <c r="T7" s="13" t="s">
        <v>1079</v>
      </c>
      <c r="U7" s="13" t="s">
        <v>1079</v>
      </c>
      <c r="V7" s="13" t="s">
        <v>1079</v>
      </c>
      <c r="W7" s="13" t="s">
        <v>1079</v>
      </c>
      <c r="X7" s="13" t="s">
        <v>1079</v>
      </c>
      <c r="Y7" s="13" t="s">
        <v>1079</v>
      </c>
      <c r="Z7" s="13" t="s">
        <v>1079</v>
      </c>
      <c r="AA7" s="17" t="s">
        <v>1079</v>
      </c>
      <c r="AB7" s="13" t="s">
        <v>1079</v>
      </c>
      <c r="AC7" s="13" t="s">
        <v>1079</v>
      </c>
      <c r="AD7" s="13" t="s">
        <v>1079</v>
      </c>
      <c r="AE7" s="13" t="s">
        <v>1079</v>
      </c>
      <c r="AF7" t="s">
        <v>1083</v>
      </c>
    </row>
    <row r="8" spans="1:32" ht="36" customHeight="1" x14ac:dyDescent="0.25">
      <c r="A8" s="14" t="s">
        <v>1084</v>
      </c>
      <c r="B8" s="13"/>
      <c r="C8" s="13"/>
      <c r="D8" s="13" t="s">
        <v>1085</v>
      </c>
      <c r="E8" s="13"/>
      <c r="F8" s="13"/>
      <c r="G8" s="13" t="s">
        <v>1086</v>
      </c>
      <c r="H8" s="13"/>
      <c r="I8" s="13" t="s">
        <v>1087</v>
      </c>
      <c r="J8" s="13" t="s">
        <v>1088</v>
      </c>
      <c r="K8" s="13" t="s">
        <v>1089</v>
      </c>
      <c r="L8" s="13" t="s">
        <v>1090</v>
      </c>
      <c r="M8" s="13" t="s">
        <v>1091</v>
      </c>
      <c r="N8" s="13" t="s">
        <v>1092</v>
      </c>
      <c r="O8" s="13" t="s">
        <v>1093</v>
      </c>
      <c r="P8" s="13" t="s">
        <v>1094</v>
      </c>
      <c r="Q8" s="13" t="s">
        <v>1095</v>
      </c>
      <c r="R8" s="13" t="s">
        <v>1096</v>
      </c>
      <c r="S8" s="13" t="s">
        <v>1097</v>
      </c>
      <c r="T8" s="13" t="s">
        <v>1095</v>
      </c>
      <c r="U8" s="13" t="s">
        <v>1098</v>
      </c>
      <c r="V8" s="13" t="s">
        <v>1099</v>
      </c>
      <c r="W8" s="13" t="s">
        <v>1100</v>
      </c>
      <c r="X8" s="13" t="s">
        <v>1100</v>
      </c>
      <c r="Y8" s="13" t="s">
        <v>1101</v>
      </c>
      <c r="Z8" s="13" t="s">
        <v>1102</v>
      </c>
      <c r="AA8" s="17" t="s">
        <v>1103</v>
      </c>
      <c r="AB8" s="13" t="s">
        <v>1104</v>
      </c>
      <c r="AC8" s="13" t="s">
        <v>1105</v>
      </c>
      <c r="AD8" s="13" t="s">
        <v>1106</v>
      </c>
      <c r="AE8" s="13" t="s">
        <v>1101</v>
      </c>
      <c r="AF8" t="s">
        <v>1107</v>
      </c>
    </row>
    <row r="9" spans="1:32" ht="36" customHeight="1" x14ac:dyDescent="0.25">
      <c r="A9" s="14" t="s">
        <v>3736</v>
      </c>
      <c r="B9" s="13" t="s">
        <v>3737</v>
      </c>
      <c r="C9" s="13" t="s">
        <v>3738</v>
      </c>
      <c r="D9" s="13" t="s">
        <v>3737</v>
      </c>
      <c r="E9" s="13" t="s">
        <v>3737</v>
      </c>
      <c r="F9" s="13" t="s">
        <v>3737</v>
      </c>
      <c r="G9" s="13" t="s">
        <v>3739</v>
      </c>
      <c r="H9" s="13" t="s">
        <v>3740</v>
      </c>
      <c r="I9" s="13" t="s">
        <v>3737</v>
      </c>
      <c r="J9" s="13" t="s">
        <v>3737</v>
      </c>
      <c r="K9" s="13" t="s">
        <v>3737</v>
      </c>
      <c r="L9" s="13" t="s">
        <v>3737</v>
      </c>
      <c r="M9" s="13" t="s">
        <v>3737</v>
      </c>
      <c r="N9" s="13" t="s">
        <v>3741</v>
      </c>
      <c r="O9" s="13" t="s">
        <v>3737</v>
      </c>
      <c r="P9" s="13" t="s">
        <v>3737</v>
      </c>
      <c r="Q9" s="13" t="s">
        <v>3737</v>
      </c>
      <c r="R9" s="13" t="s">
        <v>3737</v>
      </c>
      <c r="S9" s="13" t="s">
        <v>3737</v>
      </c>
      <c r="T9" s="13" t="s">
        <v>3737</v>
      </c>
      <c r="U9" s="13" t="s">
        <v>3737</v>
      </c>
      <c r="V9" s="13" t="s">
        <v>3742</v>
      </c>
      <c r="W9" s="13" t="s">
        <v>3737</v>
      </c>
      <c r="X9" s="13" t="s">
        <v>3737</v>
      </c>
      <c r="Y9" s="13" t="s">
        <v>3737</v>
      </c>
      <c r="Z9" s="13" t="s">
        <v>3737</v>
      </c>
      <c r="AA9" s="17" t="s">
        <v>3737</v>
      </c>
      <c r="AB9" s="13" t="s">
        <v>3737</v>
      </c>
      <c r="AC9" s="13" t="s">
        <v>3737</v>
      </c>
      <c r="AD9" s="13" t="s">
        <v>3737</v>
      </c>
      <c r="AE9" s="13" t="s">
        <v>3737</v>
      </c>
      <c r="AF9" t="s">
        <v>3743</v>
      </c>
    </row>
    <row r="10" spans="1:32" ht="23.1" customHeight="1" x14ac:dyDescent="0.25">
      <c r="A10" s="15" t="s">
        <v>3744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</row>
    <row r="11" spans="1:32" ht="36" customHeight="1" x14ac:dyDescent="0.25">
      <c r="A11" s="14" t="s">
        <v>3745</v>
      </c>
      <c r="B11" s="13" t="s">
        <v>3746</v>
      </c>
      <c r="C11" s="13" t="s">
        <v>3747</v>
      </c>
      <c r="D11" s="13" t="s">
        <v>3746</v>
      </c>
      <c r="E11" s="13" t="s">
        <v>3746</v>
      </c>
      <c r="F11" s="13" t="s">
        <v>3746</v>
      </c>
      <c r="G11" s="13" t="s">
        <v>3746</v>
      </c>
      <c r="H11" s="13" t="s">
        <v>3748</v>
      </c>
      <c r="I11" s="13" t="s">
        <v>3746</v>
      </c>
      <c r="J11" s="13" t="s">
        <v>3746</v>
      </c>
      <c r="K11" s="13" t="s">
        <v>3746</v>
      </c>
      <c r="L11" s="13" t="s">
        <v>3746</v>
      </c>
      <c r="M11" s="13" t="s">
        <v>3746</v>
      </c>
      <c r="N11" s="13" t="s">
        <v>3746</v>
      </c>
      <c r="O11" s="13" t="s">
        <v>3746</v>
      </c>
      <c r="P11" s="13" t="s">
        <v>3746</v>
      </c>
      <c r="Q11" s="13" t="s">
        <v>3746</v>
      </c>
      <c r="R11" s="13" t="s">
        <v>3746</v>
      </c>
      <c r="S11" s="13" t="s">
        <v>3746</v>
      </c>
      <c r="T11" s="13" t="s">
        <v>3746</v>
      </c>
      <c r="U11" s="13" t="s">
        <v>3746</v>
      </c>
      <c r="V11" s="13" t="s">
        <v>3749</v>
      </c>
      <c r="W11" s="13" t="s">
        <v>3746</v>
      </c>
      <c r="X11" s="13" t="s">
        <v>3746</v>
      </c>
      <c r="Y11" s="13" t="s">
        <v>3746</v>
      </c>
      <c r="Z11" s="13" t="s">
        <v>3746</v>
      </c>
      <c r="AA11" s="17" t="s">
        <v>3746</v>
      </c>
      <c r="AB11" s="13" t="s">
        <v>3746</v>
      </c>
      <c r="AC11" s="13" t="s">
        <v>3746</v>
      </c>
      <c r="AD11" s="13" t="s">
        <v>3746</v>
      </c>
      <c r="AE11" s="13" t="s">
        <v>3746</v>
      </c>
    </row>
    <row r="12" spans="1:32" ht="23.1" customHeight="1" x14ac:dyDescent="0.25">
      <c r="A12" s="15" t="s">
        <v>3750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  <c r="AF12" t="s">
        <v>3751</v>
      </c>
    </row>
    <row r="13" spans="1:32" ht="23.1" customHeight="1" x14ac:dyDescent="0.25">
      <c r="A13" s="15" t="s">
        <v>3752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  <c r="AF13" t="s">
        <v>1075</v>
      </c>
    </row>
    <row r="14" spans="1:32" ht="36" customHeight="1" x14ac:dyDescent="0.25">
      <c r="A14" s="14" t="s">
        <v>3753</v>
      </c>
      <c r="B14" s="13" t="s">
        <v>3754</v>
      </c>
      <c r="C14" s="13" t="s">
        <v>3755</v>
      </c>
      <c r="D14" s="13" t="s">
        <v>3756</v>
      </c>
      <c r="E14" s="13" t="s">
        <v>3757</v>
      </c>
      <c r="F14" s="13"/>
      <c r="G14" s="13" t="s">
        <v>3758</v>
      </c>
      <c r="H14" s="13" t="s">
        <v>3759</v>
      </c>
      <c r="I14" s="13" t="s">
        <v>3760</v>
      </c>
      <c r="J14" s="13" t="s">
        <v>3761</v>
      </c>
      <c r="K14" s="13" t="s">
        <v>3762</v>
      </c>
      <c r="L14" s="13" t="s">
        <v>3763</v>
      </c>
      <c r="M14" s="13" t="s">
        <v>3764</v>
      </c>
      <c r="N14" s="13" t="s">
        <v>3765</v>
      </c>
      <c r="O14" s="13" t="s">
        <v>3560</v>
      </c>
      <c r="P14" s="13" t="s">
        <v>3766</v>
      </c>
      <c r="Q14" s="13" t="s">
        <v>3767</v>
      </c>
      <c r="R14" s="13" t="s">
        <v>3768</v>
      </c>
      <c r="S14" s="13" t="s">
        <v>3769</v>
      </c>
      <c r="T14" s="13" t="s">
        <v>3770</v>
      </c>
      <c r="U14" s="13" t="s">
        <v>3771</v>
      </c>
      <c r="V14" s="13" t="s">
        <v>3771</v>
      </c>
      <c r="W14" s="13" t="s">
        <v>3560</v>
      </c>
      <c r="X14" s="13" t="s">
        <v>3772</v>
      </c>
      <c r="Y14" s="13" t="s">
        <v>3762</v>
      </c>
      <c r="Z14" s="13" t="s">
        <v>3773</v>
      </c>
      <c r="AA14" s="17" t="s">
        <v>3774</v>
      </c>
      <c r="AB14" s="13" t="s">
        <v>3775</v>
      </c>
      <c r="AC14" s="13" t="s">
        <v>3770</v>
      </c>
      <c r="AD14" s="13" t="s">
        <v>3762</v>
      </c>
      <c r="AE14" s="13" t="s">
        <v>3770</v>
      </c>
      <c r="AF14" t="s">
        <v>3776</v>
      </c>
    </row>
    <row r="15" spans="1:32" ht="36" customHeight="1" x14ac:dyDescent="0.25">
      <c r="A15" s="14" t="s">
        <v>3777</v>
      </c>
      <c r="B15" s="13" t="s">
        <v>215</v>
      </c>
      <c r="C15" s="13"/>
      <c r="D15" s="13"/>
      <c r="E15" s="13"/>
      <c r="F15" s="13"/>
      <c r="G15" s="13" t="s">
        <v>215</v>
      </c>
      <c r="H15" s="13"/>
      <c r="I15" s="13" t="s">
        <v>215</v>
      </c>
      <c r="J15" s="13"/>
      <c r="K15" s="13"/>
      <c r="L15" s="13" t="s">
        <v>215</v>
      </c>
      <c r="M15" s="13" t="s">
        <v>215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/>
      <c r="AB15" s="13"/>
      <c r="AC15" s="13"/>
      <c r="AD15" s="13"/>
      <c r="AE15" s="13"/>
      <c r="AF15" t="s">
        <v>3778</v>
      </c>
    </row>
  </sheetData>
  <mergeCells count="1">
    <mergeCell ref="A1:A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36"/>
  <sheetViews>
    <sheetView workbookViewId="0">
      <pane xSplit="2" ySplit="2" topLeftCell="X19" activePane="bottomRight" state="frozen"/>
      <selection pane="topRight" activeCell="C1" sqref="C1"/>
      <selection pane="bottomLeft" activeCell="A3" sqref="A3"/>
      <selection pane="bottomRight" activeCell="AA37" sqref="AA37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Directory'!A1","Project History, Team &amp; Maintenance — Granular"),"Project History, Team &amp; Maintenance — Granular")</f>
        <v>Project History, Team &amp; Maintenance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3779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3780</v>
      </c>
      <c r="B4" s="13" t="s">
        <v>113</v>
      </c>
      <c r="C4" s="13" t="s">
        <v>3781</v>
      </c>
      <c r="D4" s="13" t="s">
        <v>3782</v>
      </c>
      <c r="E4" s="13" t="s">
        <v>107</v>
      </c>
      <c r="F4" s="13" t="s">
        <v>3782</v>
      </c>
      <c r="G4" s="13" t="s">
        <v>108</v>
      </c>
      <c r="H4" s="13" t="s">
        <v>3781</v>
      </c>
      <c r="I4" s="13" t="s">
        <v>110</v>
      </c>
      <c r="J4" s="13" t="s">
        <v>3783</v>
      </c>
      <c r="K4" s="13" t="s">
        <v>112</v>
      </c>
      <c r="L4" s="13" t="s">
        <v>113</v>
      </c>
      <c r="M4" s="13" t="s">
        <v>113</v>
      </c>
      <c r="N4" s="13" t="s">
        <v>121</v>
      </c>
      <c r="O4" s="13"/>
      <c r="P4" s="13" t="s">
        <v>3784</v>
      </c>
      <c r="Q4" s="13" t="s">
        <v>121</v>
      </c>
      <c r="R4" s="13" t="s">
        <v>121</v>
      </c>
      <c r="S4" s="13"/>
      <c r="T4" s="13" t="s">
        <v>3782</v>
      </c>
      <c r="U4" s="13" t="s">
        <v>121</v>
      </c>
      <c r="V4" s="13" t="s">
        <v>121</v>
      </c>
      <c r="W4" s="13" t="s">
        <v>3784</v>
      </c>
      <c r="X4" s="13" t="s">
        <v>121</v>
      </c>
      <c r="Y4" s="13" t="s">
        <v>121</v>
      </c>
      <c r="Z4" s="13" t="s">
        <v>120</v>
      </c>
      <c r="AA4" s="17" t="s">
        <v>121</v>
      </c>
      <c r="AB4" s="13" t="s">
        <v>121</v>
      </c>
      <c r="AC4" s="13" t="s">
        <v>121</v>
      </c>
      <c r="AD4" s="13" t="s">
        <v>121</v>
      </c>
      <c r="AE4" s="13" t="s">
        <v>3782</v>
      </c>
      <c r="AF4" t="s">
        <v>123</v>
      </c>
    </row>
    <row r="5" spans="1:32" ht="36" customHeight="1" x14ac:dyDescent="0.25">
      <c r="A5" s="14" t="s">
        <v>3785</v>
      </c>
      <c r="B5" s="13" t="s">
        <v>3786</v>
      </c>
      <c r="C5" s="13"/>
      <c r="D5" s="13" t="s">
        <v>3787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7"/>
      <c r="AB5" s="13"/>
      <c r="AC5" s="13"/>
      <c r="AD5" s="13"/>
      <c r="AE5" s="13"/>
    </row>
    <row r="6" spans="1:32" ht="36" customHeight="1" x14ac:dyDescent="0.25">
      <c r="A6" s="14" t="s">
        <v>3788</v>
      </c>
      <c r="B6" s="13" t="s">
        <v>215</v>
      </c>
      <c r="C6" s="13"/>
      <c r="D6" s="13"/>
      <c r="E6" s="13" t="s">
        <v>215</v>
      </c>
      <c r="F6" s="13"/>
      <c r="G6" s="13" t="s">
        <v>215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3"/>
      <c r="AC6" s="13"/>
      <c r="AD6" s="13"/>
      <c r="AE6" s="13"/>
    </row>
    <row r="7" spans="1:32" ht="36" customHeight="1" x14ac:dyDescent="0.25">
      <c r="A7" s="14" t="s">
        <v>3789</v>
      </c>
      <c r="B7" s="13"/>
      <c r="C7" s="13"/>
      <c r="D7" s="13" t="s">
        <v>1056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 t="s">
        <v>1064</v>
      </c>
      <c r="S7" s="13"/>
      <c r="T7" s="13" t="s">
        <v>1065</v>
      </c>
      <c r="U7" s="13"/>
      <c r="V7" s="13" t="s">
        <v>1067</v>
      </c>
      <c r="W7" s="13" t="s">
        <v>1068</v>
      </c>
      <c r="X7" s="13"/>
      <c r="Y7" s="13" t="s">
        <v>1070</v>
      </c>
      <c r="Z7" s="13"/>
      <c r="AA7" s="17"/>
      <c r="AB7" s="13"/>
      <c r="AC7" s="13"/>
      <c r="AD7" s="13" t="s">
        <v>1074</v>
      </c>
      <c r="AE7" s="13"/>
      <c r="AF7" t="s">
        <v>1075</v>
      </c>
    </row>
    <row r="8" spans="1:32" ht="36" customHeight="1" x14ac:dyDescent="0.25">
      <c r="A8" s="14" t="s">
        <v>3790</v>
      </c>
      <c r="B8" s="13"/>
      <c r="C8" s="13"/>
      <c r="D8" s="13"/>
      <c r="E8" s="13" t="s">
        <v>1057</v>
      </c>
      <c r="F8" s="13"/>
      <c r="G8" s="13"/>
      <c r="H8" s="13"/>
      <c r="I8" s="13"/>
      <c r="J8" s="13" t="s">
        <v>1059</v>
      </c>
      <c r="K8" s="13"/>
      <c r="L8" s="13"/>
      <c r="M8" s="13"/>
      <c r="N8" s="13" t="s">
        <v>1061</v>
      </c>
      <c r="O8" s="13"/>
      <c r="P8" s="13" t="s">
        <v>1062</v>
      </c>
      <c r="Q8" s="13" t="s">
        <v>1063</v>
      </c>
      <c r="R8" s="13" t="s">
        <v>1064</v>
      </c>
      <c r="S8" s="13"/>
      <c r="T8" s="13"/>
      <c r="U8" s="13" t="s">
        <v>1066</v>
      </c>
      <c r="V8" s="13"/>
      <c r="W8" s="13"/>
      <c r="X8" s="13" t="s">
        <v>1069</v>
      </c>
      <c r="Y8" s="13" t="s">
        <v>1070</v>
      </c>
      <c r="Z8" s="13" t="s">
        <v>1071</v>
      </c>
      <c r="AA8" s="17" t="s">
        <v>1072</v>
      </c>
      <c r="AB8" s="13" t="s">
        <v>1073</v>
      </c>
      <c r="AC8" s="13" t="s">
        <v>1072</v>
      </c>
      <c r="AD8" s="13"/>
      <c r="AE8" s="13" t="s">
        <v>1073</v>
      </c>
      <c r="AF8" t="s">
        <v>1075</v>
      </c>
    </row>
    <row r="9" spans="1:32" ht="36" customHeight="1" x14ac:dyDescent="0.25">
      <c r="A9" s="14" t="s">
        <v>3791</v>
      </c>
      <c r="B9" s="13" t="s">
        <v>1055</v>
      </c>
      <c r="C9" s="13"/>
      <c r="D9" s="13"/>
      <c r="E9" s="13"/>
      <c r="F9" s="13"/>
      <c r="G9" s="13" t="s">
        <v>1058</v>
      </c>
      <c r="H9" s="13"/>
      <c r="I9" s="13"/>
      <c r="J9" s="13" t="s">
        <v>1059</v>
      </c>
      <c r="K9" s="13" t="s">
        <v>1060</v>
      </c>
      <c r="L9" s="13" t="s">
        <v>113</v>
      </c>
      <c r="M9" s="13" t="s">
        <v>113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7"/>
      <c r="AB9" s="13"/>
      <c r="AC9" s="13"/>
      <c r="AD9" s="13"/>
      <c r="AE9" s="13"/>
      <c r="AF9" t="s">
        <v>1075</v>
      </c>
    </row>
    <row r="10" spans="1:32" ht="23.1" customHeight="1" x14ac:dyDescent="0.25">
      <c r="A10" s="15" t="s">
        <v>3792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  <c r="AF10" t="s">
        <v>140</v>
      </c>
    </row>
    <row r="11" spans="1:32" ht="36" customHeight="1" x14ac:dyDescent="0.25">
      <c r="A11" s="14" t="s">
        <v>3793</v>
      </c>
      <c r="B11" s="13" t="s">
        <v>125</v>
      </c>
      <c r="C11" s="13" t="s">
        <v>126</v>
      </c>
      <c r="D11" s="13" t="s">
        <v>127</v>
      </c>
      <c r="E11" s="13" t="s">
        <v>128</v>
      </c>
      <c r="F11" s="13" t="s">
        <v>129</v>
      </c>
      <c r="G11" s="13" t="s">
        <v>130</v>
      </c>
      <c r="H11" s="13" t="s">
        <v>131</v>
      </c>
      <c r="I11" s="13" t="s">
        <v>125</v>
      </c>
      <c r="J11" s="13" t="s">
        <v>132</v>
      </c>
      <c r="K11" s="13" t="s">
        <v>125</v>
      </c>
      <c r="L11" s="13" t="s">
        <v>125</v>
      </c>
      <c r="M11" s="13" t="s">
        <v>125</v>
      </c>
      <c r="N11" s="13" t="s">
        <v>133</v>
      </c>
      <c r="O11" s="13" t="s">
        <v>134</v>
      </c>
      <c r="P11" s="13" t="s">
        <v>128</v>
      </c>
      <c r="Q11" s="13" t="s">
        <v>133</v>
      </c>
      <c r="R11" s="13" t="s">
        <v>135</v>
      </c>
      <c r="S11" s="13" t="s">
        <v>134</v>
      </c>
      <c r="T11" s="13" t="s">
        <v>127</v>
      </c>
      <c r="U11" s="13" t="s">
        <v>129</v>
      </c>
      <c r="V11" s="13" t="s">
        <v>136</v>
      </c>
      <c r="W11" s="13" t="s">
        <v>137</v>
      </c>
      <c r="X11" s="13" t="s">
        <v>138</v>
      </c>
      <c r="Y11" s="13" t="s">
        <v>135</v>
      </c>
      <c r="Z11" s="13" t="s">
        <v>138</v>
      </c>
      <c r="AA11" s="17" t="s">
        <v>134</v>
      </c>
      <c r="AB11" s="13" t="s">
        <v>129</v>
      </c>
      <c r="AC11" s="13" t="s">
        <v>139</v>
      </c>
      <c r="AD11" s="13" t="s">
        <v>127</v>
      </c>
      <c r="AE11" s="13" t="s">
        <v>128</v>
      </c>
      <c r="AF11" t="s">
        <v>140</v>
      </c>
    </row>
    <row r="12" spans="1:32" ht="36" customHeight="1" x14ac:dyDescent="0.25">
      <c r="A12" s="14" t="s">
        <v>3794</v>
      </c>
      <c r="B12" s="13" t="s">
        <v>215</v>
      </c>
      <c r="C12" s="13" t="s">
        <v>215</v>
      </c>
      <c r="D12" s="13" t="s">
        <v>215</v>
      </c>
      <c r="E12" s="13" t="s">
        <v>215</v>
      </c>
      <c r="F12" s="13" t="s">
        <v>215</v>
      </c>
      <c r="G12" s="13" t="s">
        <v>215</v>
      </c>
      <c r="H12" s="13" t="s">
        <v>215</v>
      </c>
      <c r="I12" s="13" t="s">
        <v>215</v>
      </c>
      <c r="J12" s="13" t="s">
        <v>215</v>
      </c>
      <c r="K12" s="13" t="s">
        <v>215</v>
      </c>
      <c r="L12" s="13" t="s">
        <v>215</v>
      </c>
      <c r="M12" s="13" t="s">
        <v>215</v>
      </c>
      <c r="N12" s="13" t="s">
        <v>215</v>
      </c>
      <c r="O12" s="13" t="s">
        <v>215</v>
      </c>
      <c r="P12" s="13" t="s">
        <v>215</v>
      </c>
      <c r="Q12" s="13" t="s">
        <v>215</v>
      </c>
      <c r="R12" s="13" t="s">
        <v>215</v>
      </c>
      <c r="S12" s="13" t="s">
        <v>215</v>
      </c>
      <c r="T12" s="13" t="s">
        <v>215</v>
      </c>
      <c r="U12" s="13" t="s">
        <v>215</v>
      </c>
      <c r="V12" s="13" t="s">
        <v>215</v>
      </c>
      <c r="W12" s="13" t="s">
        <v>215</v>
      </c>
      <c r="X12" s="13" t="s">
        <v>215</v>
      </c>
      <c r="Y12" s="13" t="s">
        <v>215</v>
      </c>
      <c r="Z12" s="13" t="s">
        <v>215</v>
      </c>
      <c r="AA12" s="17" t="s">
        <v>215</v>
      </c>
      <c r="AB12" s="13" t="s">
        <v>215</v>
      </c>
      <c r="AC12" s="13" t="s">
        <v>215</v>
      </c>
      <c r="AD12" s="13" t="s">
        <v>215</v>
      </c>
      <c r="AE12" s="13" t="s">
        <v>215</v>
      </c>
    </row>
    <row r="13" spans="1:32" ht="36" customHeight="1" x14ac:dyDescent="0.25">
      <c r="A13" s="14" t="s">
        <v>1077</v>
      </c>
      <c r="B13" s="13" t="s">
        <v>1078</v>
      </c>
      <c r="C13" s="13" t="s">
        <v>1079</v>
      </c>
      <c r="D13" s="13" t="s">
        <v>1080</v>
      </c>
      <c r="E13" s="13" t="s">
        <v>1079</v>
      </c>
      <c r="F13" s="13" t="s">
        <v>1079</v>
      </c>
      <c r="G13" s="13" t="s">
        <v>1081</v>
      </c>
      <c r="H13" s="13" t="s">
        <v>1079</v>
      </c>
      <c r="I13" s="13" t="s">
        <v>1079</v>
      </c>
      <c r="J13" s="13" t="s">
        <v>1079</v>
      </c>
      <c r="K13" s="13" t="s">
        <v>1079</v>
      </c>
      <c r="L13" s="13" t="s">
        <v>1079</v>
      </c>
      <c r="M13" s="13" t="s">
        <v>1079</v>
      </c>
      <c r="N13" s="13" t="s">
        <v>1079</v>
      </c>
      <c r="O13" s="13" t="s">
        <v>1079</v>
      </c>
      <c r="P13" s="13" t="s">
        <v>1079</v>
      </c>
      <c r="Q13" s="13" t="s">
        <v>1079</v>
      </c>
      <c r="R13" s="13" t="s">
        <v>1082</v>
      </c>
      <c r="S13" s="13" t="s">
        <v>1079</v>
      </c>
      <c r="T13" s="13" t="s">
        <v>1079</v>
      </c>
      <c r="U13" s="13" t="s">
        <v>1079</v>
      </c>
      <c r="V13" s="13" t="s">
        <v>1079</v>
      </c>
      <c r="W13" s="13" t="s">
        <v>1079</v>
      </c>
      <c r="X13" s="13" t="s">
        <v>1079</v>
      </c>
      <c r="Y13" s="13" t="s">
        <v>1079</v>
      </c>
      <c r="Z13" s="13" t="s">
        <v>1079</v>
      </c>
      <c r="AA13" s="17" t="s">
        <v>1079</v>
      </c>
      <c r="AB13" s="13" t="s">
        <v>1079</v>
      </c>
      <c r="AC13" s="13" t="s">
        <v>1079</v>
      </c>
      <c r="AD13" s="13" t="s">
        <v>1079</v>
      </c>
      <c r="AE13" s="13" t="s">
        <v>1079</v>
      </c>
      <c r="AF13" t="s">
        <v>1083</v>
      </c>
    </row>
    <row r="14" spans="1:32" ht="23.1" customHeight="1" x14ac:dyDescent="0.25">
      <c r="A14" s="15" t="s">
        <v>3752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15"/>
      <c r="AC14" s="15"/>
      <c r="AD14" s="15"/>
      <c r="AE14" s="15"/>
      <c r="AF14" t="s">
        <v>1075</v>
      </c>
    </row>
    <row r="15" spans="1:32" ht="23.1" customHeight="1" x14ac:dyDescent="0.25">
      <c r="A15" s="15" t="s">
        <v>3795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5"/>
      <c r="AC15" s="15"/>
      <c r="AD15" s="15"/>
      <c r="AE15" s="15"/>
    </row>
    <row r="16" spans="1:32" ht="36" customHeight="1" x14ac:dyDescent="0.25">
      <c r="A16" s="14" t="s">
        <v>3796</v>
      </c>
      <c r="B16" s="13" t="s">
        <v>3797</v>
      </c>
      <c r="C16" s="13" t="s">
        <v>3798</v>
      </c>
      <c r="D16" s="13" t="s">
        <v>3799</v>
      </c>
      <c r="E16" s="13" t="s">
        <v>3800</v>
      </c>
      <c r="F16" s="13" t="s">
        <v>3801</v>
      </c>
      <c r="G16" s="13" t="s">
        <v>3802</v>
      </c>
      <c r="H16" s="13" t="s">
        <v>3803</v>
      </c>
      <c r="I16" s="13" t="s">
        <v>3804</v>
      </c>
      <c r="J16" s="13" t="s">
        <v>3801</v>
      </c>
      <c r="K16" s="13" t="s">
        <v>3805</v>
      </c>
      <c r="L16" s="13" t="s">
        <v>3806</v>
      </c>
      <c r="M16" s="13" t="s">
        <v>3807</v>
      </c>
      <c r="N16" s="13" t="s">
        <v>3808</v>
      </c>
      <c r="O16" s="13" t="s">
        <v>3809</v>
      </c>
      <c r="P16" s="13" t="s">
        <v>1094</v>
      </c>
      <c r="Q16" s="13" t="s">
        <v>1095</v>
      </c>
      <c r="R16" s="13" t="s">
        <v>3810</v>
      </c>
      <c r="S16" s="13" t="s">
        <v>1097</v>
      </c>
      <c r="T16" s="13" t="s">
        <v>1095</v>
      </c>
      <c r="U16" s="13" t="s">
        <v>1095</v>
      </c>
      <c r="V16" s="13" t="s">
        <v>3803</v>
      </c>
      <c r="W16" s="13" t="s">
        <v>3811</v>
      </c>
      <c r="X16" s="13" t="s">
        <v>3812</v>
      </c>
      <c r="Y16" s="13" t="s">
        <v>3813</v>
      </c>
      <c r="Z16" s="13" t="s">
        <v>3814</v>
      </c>
      <c r="AA16" s="17" t="s">
        <v>3815</v>
      </c>
      <c r="AB16" s="13" t="s">
        <v>3816</v>
      </c>
      <c r="AC16" s="13" t="s">
        <v>1105</v>
      </c>
      <c r="AD16" s="13" t="s">
        <v>1106</v>
      </c>
      <c r="AE16" s="13" t="s">
        <v>1101</v>
      </c>
      <c r="AF16" t="s">
        <v>1107</v>
      </c>
    </row>
    <row r="17" spans="1:32" ht="36" customHeight="1" x14ac:dyDescent="0.25">
      <c r="A17" s="14" t="s">
        <v>1084</v>
      </c>
      <c r="B17" s="13"/>
      <c r="C17" s="13"/>
      <c r="D17" s="13" t="s">
        <v>1085</v>
      </c>
      <c r="E17" s="13"/>
      <c r="F17" s="13"/>
      <c r="G17" s="13" t="s">
        <v>1086</v>
      </c>
      <c r="H17" s="13"/>
      <c r="I17" s="13" t="s">
        <v>1087</v>
      </c>
      <c r="J17" s="13" t="s">
        <v>1088</v>
      </c>
      <c r="K17" s="13" t="s">
        <v>1089</v>
      </c>
      <c r="L17" s="13" t="s">
        <v>1090</v>
      </c>
      <c r="M17" s="13" t="s">
        <v>1091</v>
      </c>
      <c r="N17" s="13" t="s">
        <v>1092</v>
      </c>
      <c r="O17" s="13" t="s">
        <v>1093</v>
      </c>
      <c r="P17" s="13" t="s">
        <v>1094</v>
      </c>
      <c r="Q17" s="13" t="s">
        <v>1095</v>
      </c>
      <c r="R17" s="13" t="s">
        <v>1096</v>
      </c>
      <c r="S17" s="13" t="s">
        <v>1097</v>
      </c>
      <c r="T17" s="13" t="s">
        <v>1095</v>
      </c>
      <c r="U17" s="13" t="s">
        <v>1098</v>
      </c>
      <c r="V17" s="13" t="s">
        <v>1099</v>
      </c>
      <c r="W17" s="13" t="s">
        <v>1100</v>
      </c>
      <c r="X17" s="13" t="s">
        <v>1100</v>
      </c>
      <c r="Y17" s="13" t="s">
        <v>1101</v>
      </c>
      <c r="Z17" s="13" t="s">
        <v>1102</v>
      </c>
      <c r="AA17" s="17" t="s">
        <v>1103</v>
      </c>
      <c r="AB17" s="13" t="s">
        <v>1104</v>
      </c>
      <c r="AC17" s="13" t="s">
        <v>1105</v>
      </c>
      <c r="AD17" s="13" t="s">
        <v>1106</v>
      </c>
      <c r="AE17" s="13" t="s">
        <v>1101</v>
      </c>
      <c r="AF17" t="s">
        <v>1107</v>
      </c>
    </row>
    <row r="18" spans="1:32" ht="23.1" customHeight="1" x14ac:dyDescent="0.25">
      <c r="A18" s="15" t="s">
        <v>3817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</row>
    <row r="19" spans="1:32" ht="36" customHeight="1" x14ac:dyDescent="0.25">
      <c r="A19" s="14" t="s">
        <v>3818</v>
      </c>
      <c r="B19" s="13" t="s">
        <v>3737</v>
      </c>
      <c r="C19" s="13" t="s">
        <v>3738</v>
      </c>
      <c r="D19" s="13" t="s">
        <v>3737</v>
      </c>
      <c r="E19" s="13" t="s">
        <v>3737</v>
      </c>
      <c r="F19" s="13" t="s">
        <v>3737</v>
      </c>
      <c r="G19" s="13" t="s">
        <v>3739</v>
      </c>
      <c r="H19" s="13" t="s">
        <v>3740</v>
      </c>
      <c r="I19" s="13" t="s">
        <v>3737</v>
      </c>
      <c r="J19" s="13" t="s">
        <v>3737</v>
      </c>
      <c r="K19" s="13" t="s">
        <v>3737</v>
      </c>
      <c r="L19" s="13" t="s">
        <v>3737</v>
      </c>
      <c r="M19" s="13" t="s">
        <v>3737</v>
      </c>
      <c r="N19" s="13" t="s">
        <v>3741</v>
      </c>
      <c r="O19" s="13" t="s">
        <v>3737</v>
      </c>
      <c r="P19" s="13" t="s">
        <v>3737</v>
      </c>
      <c r="Q19" s="13" t="s">
        <v>3737</v>
      </c>
      <c r="R19" s="13" t="s">
        <v>3737</v>
      </c>
      <c r="S19" s="13" t="s">
        <v>3737</v>
      </c>
      <c r="T19" s="13" t="s">
        <v>3737</v>
      </c>
      <c r="U19" s="13" t="s">
        <v>3737</v>
      </c>
      <c r="V19" s="13" t="s">
        <v>3742</v>
      </c>
      <c r="W19" s="13" t="s">
        <v>3737</v>
      </c>
      <c r="X19" s="13" t="s">
        <v>3737</v>
      </c>
      <c r="Y19" s="13" t="s">
        <v>3737</v>
      </c>
      <c r="Z19" s="13" t="s">
        <v>3737</v>
      </c>
      <c r="AA19" s="17" t="s">
        <v>3737</v>
      </c>
      <c r="AB19" s="13" t="s">
        <v>3737</v>
      </c>
      <c r="AC19" s="13" t="s">
        <v>3737</v>
      </c>
      <c r="AD19" s="13" t="s">
        <v>3737</v>
      </c>
      <c r="AE19" s="13" t="s">
        <v>3737</v>
      </c>
      <c r="AF19" t="s">
        <v>3743</v>
      </c>
    </row>
    <row r="20" spans="1:32" ht="36" customHeight="1" x14ac:dyDescent="0.25">
      <c r="A20" s="14" t="s">
        <v>3745</v>
      </c>
      <c r="B20" s="13" t="s">
        <v>3746</v>
      </c>
      <c r="C20" s="13" t="s">
        <v>3747</v>
      </c>
      <c r="D20" s="13" t="s">
        <v>3746</v>
      </c>
      <c r="E20" s="13" t="s">
        <v>3746</v>
      </c>
      <c r="F20" s="13" t="s">
        <v>3746</v>
      </c>
      <c r="G20" s="13" t="s">
        <v>3746</v>
      </c>
      <c r="H20" s="13" t="s">
        <v>3748</v>
      </c>
      <c r="I20" s="13" t="s">
        <v>3746</v>
      </c>
      <c r="J20" s="13" t="s">
        <v>3746</v>
      </c>
      <c r="K20" s="13" t="s">
        <v>3746</v>
      </c>
      <c r="L20" s="13" t="s">
        <v>3746</v>
      </c>
      <c r="M20" s="13" t="s">
        <v>3746</v>
      </c>
      <c r="N20" s="13" t="s">
        <v>3746</v>
      </c>
      <c r="O20" s="13" t="s">
        <v>3746</v>
      </c>
      <c r="P20" s="13" t="s">
        <v>3746</v>
      </c>
      <c r="Q20" s="13" t="s">
        <v>3746</v>
      </c>
      <c r="R20" s="13" t="s">
        <v>3746</v>
      </c>
      <c r="S20" s="13" t="s">
        <v>3746</v>
      </c>
      <c r="T20" s="13" t="s">
        <v>3746</v>
      </c>
      <c r="U20" s="13" t="s">
        <v>3746</v>
      </c>
      <c r="V20" s="13" t="s">
        <v>3749</v>
      </c>
      <c r="W20" s="13" t="s">
        <v>3746</v>
      </c>
      <c r="X20" s="13" t="s">
        <v>3746</v>
      </c>
      <c r="Y20" s="13" t="s">
        <v>3746</v>
      </c>
      <c r="Z20" s="13" t="s">
        <v>3746</v>
      </c>
      <c r="AA20" s="17" t="s">
        <v>3746</v>
      </c>
      <c r="AB20" s="13" t="s">
        <v>3746</v>
      </c>
      <c r="AC20" s="13" t="s">
        <v>3746</v>
      </c>
      <c r="AD20" s="13" t="s">
        <v>3746</v>
      </c>
      <c r="AE20" s="13" t="s">
        <v>3746</v>
      </c>
    </row>
    <row r="21" spans="1:32" ht="23.1" customHeight="1" x14ac:dyDescent="0.25">
      <c r="A21" s="15" t="s">
        <v>3750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  <c r="AF21" t="s">
        <v>3751</v>
      </c>
    </row>
    <row r="22" spans="1:32" ht="23.1" customHeight="1" x14ac:dyDescent="0.25">
      <c r="A22" s="15" t="s">
        <v>3819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15"/>
      <c r="AC22" s="15"/>
      <c r="AD22" s="15"/>
      <c r="AE22" s="15"/>
    </row>
    <row r="23" spans="1:32" ht="36" customHeight="1" x14ac:dyDescent="0.25">
      <c r="A23" s="14" t="s">
        <v>3820</v>
      </c>
      <c r="B23" s="13" t="s">
        <v>3821</v>
      </c>
      <c r="C23" s="13" t="s">
        <v>3822</v>
      </c>
      <c r="D23" s="13" t="s">
        <v>3823</v>
      </c>
      <c r="E23" s="13" t="s">
        <v>3824</v>
      </c>
      <c r="F23" s="13" t="s">
        <v>3825</v>
      </c>
      <c r="G23" s="13" t="s">
        <v>3826</v>
      </c>
      <c r="H23" s="13" t="s">
        <v>3827</v>
      </c>
      <c r="I23" s="13" t="s">
        <v>3828</v>
      </c>
      <c r="J23" s="13" t="s">
        <v>3829</v>
      </c>
      <c r="K23" s="13" t="s">
        <v>3830</v>
      </c>
      <c r="L23" s="13" t="s">
        <v>3831</v>
      </c>
      <c r="M23" s="13" t="s">
        <v>3832</v>
      </c>
      <c r="N23" s="13" t="s">
        <v>3833</v>
      </c>
      <c r="O23" s="13" t="s">
        <v>3834</v>
      </c>
      <c r="P23" s="13" t="s">
        <v>3835</v>
      </c>
      <c r="Q23" s="13" t="s">
        <v>3836</v>
      </c>
      <c r="R23" s="13" t="s">
        <v>3837</v>
      </c>
      <c r="S23" s="13" t="s">
        <v>3838</v>
      </c>
      <c r="T23" s="13" t="s">
        <v>3837</v>
      </c>
      <c r="U23" s="13" t="s">
        <v>3839</v>
      </c>
      <c r="V23" s="13" t="s">
        <v>3840</v>
      </c>
      <c r="W23" s="13" t="s">
        <v>3841</v>
      </c>
      <c r="X23" s="13" t="s">
        <v>3842</v>
      </c>
      <c r="Y23" s="13" t="s">
        <v>3843</v>
      </c>
      <c r="Z23" s="13" t="s">
        <v>3844</v>
      </c>
      <c r="AA23" s="17" t="s">
        <v>3845</v>
      </c>
      <c r="AB23" s="13" t="s">
        <v>3842</v>
      </c>
      <c r="AC23" s="13" t="s">
        <v>3825</v>
      </c>
      <c r="AD23" s="13" t="s">
        <v>3837</v>
      </c>
      <c r="AE23" s="13" t="s">
        <v>3846</v>
      </c>
      <c r="AF23" t="s">
        <v>3847</v>
      </c>
    </row>
    <row r="24" spans="1:32" ht="36" customHeight="1" x14ac:dyDescent="0.25">
      <c r="A24" s="14" t="s">
        <v>3848</v>
      </c>
      <c r="B24" s="13" t="s">
        <v>3849</v>
      </c>
      <c r="C24" s="13" t="s">
        <v>3850</v>
      </c>
      <c r="D24" s="13" t="s">
        <v>3851</v>
      </c>
      <c r="E24" s="13" t="s">
        <v>3852</v>
      </c>
      <c r="F24" s="13" t="s">
        <v>3853</v>
      </c>
      <c r="G24" s="13" t="s">
        <v>3854</v>
      </c>
      <c r="H24" s="13" t="s">
        <v>3855</v>
      </c>
      <c r="I24" s="13" t="s">
        <v>3856</v>
      </c>
      <c r="J24" s="13" t="s">
        <v>3857</v>
      </c>
      <c r="K24" s="13" t="s">
        <v>3852</v>
      </c>
      <c r="L24" s="13" t="s">
        <v>3852</v>
      </c>
      <c r="M24" s="13" t="s">
        <v>3852</v>
      </c>
      <c r="N24" s="13" t="s">
        <v>3858</v>
      </c>
      <c r="O24" s="13" t="s">
        <v>3859</v>
      </c>
      <c r="P24" s="13" t="s">
        <v>1078</v>
      </c>
      <c r="Q24" s="13" t="s">
        <v>1079</v>
      </c>
      <c r="R24" s="13" t="s">
        <v>3860</v>
      </c>
      <c r="S24" s="13" t="s">
        <v>3859</v>
      </c>
      <c r="T24" s="13" t="s">
        <v>1079</v>
      </c>
      <c r="U24" s="13" t="s">
        <v>1079</v>
      </c>
      <c r="V24" s="13" t="s">
        <v>3861</v>
      </c>
      <c r="W24" s="13" t="s">
        <v>3859</v>
      </c>
      <c r="X24" s="13" t="s">
        <v>3859</v>
      </c>
      <c r="Y24" s="13" t="s">
        <v>3862</v>
      </c>
      <c r="Z24" s="13" t="s">
        <v>3852</v>
      </c>
      <c r="AA24" s="17" t="s">
        <v>557</v>
      </c>
      <c r="AB24" s="13" t="s">
        <v>3859</v>
      </c>
      <c r="AC24" s="13" t="s">
        <v>3863</v>
      </c>
      <c r="AD24" s="13" t="s">
        <v>3859</v>
      </c>
      <c r="AE24" s="13" t="s">
        <v>3864</v>
      </c>
      <c r="AF24" t="s">
        <v>3865</v>
      </c>
    </row>
    <row r="25" spans="1:32" ht="36" customHeight="1" x14ac:dyDescent="0.25">
      <c r="A25" s="14" t="s">
        <v>3753</v>
      </c>
      <c r="B25" s="13" t="s">
        <v>3754</v>
      </c>
      <c r="C25" s="13" t="s">
        <v>3755</v>
      </c>
      <c r="D25" s="13" t="s">
        <v>3756</v>
      </c>
      <c r="E25" s="13" t="s">
        <v>3757</v>
      </c>
      <c r="F25" s="13"/>
      <c r="G25" s="13" t="s">
        <v>3758</v>
      </c>
      <c r="H25" s="13" t="s">
        <v>3759</v>
      </c>
      <c r="I25" s="13" t="s">
        <v>3760</v>
      </c>
      <c r="J25" s="13" t="s">
        <v>3761</v>
      </c>
      <c r="K25" s="13" t="s">
        <v>3762</v>
      </c>
      <c r="L25" s="13" t="s">
        <v>3763</v>
      </c>
      <c r="M25" s="13" t="s">
        <v>3764</v>
      </c>
      <c r="N25" s="13" t="s">
        <v>3765</v>
      </c>
      <c r="O25" s="13" t="s">
        <v>3560</v>
      </c>
      <c r="P25" s="13" t="s">
        <v>3766</v>
      </c>
      <c r="Q25" s="13" t="s">
        <v>3767</v>
      </c>
      <c r="R25" s="13" t="s">
        <v>3768</v>
      </c>
      <c r="S25" s="13" t="s">
        <v>3769</v>
      </c>
      <c r="T25" s="13" t="s">
        <v>3770</v>
      </c>
      <c r="U25" s="13" t="s">
        <v>3771</v>
      </c>
      <c r="V25" s="13" t="s">
        <v>3771</v>
      </c>
      <c r="W25" s="13" t="s">
        <v>3560</v>
      </c>
      <c r="X25" s="13" t="s">
        <v>3772</v>
      </c>
      <c r="Y25" s="13" t="s">
        <v>3762</v>
      </c>
      <c r="Z25" s="13" t="s">
        <v>3773</v>
      </c>
      <c r="AA25" s="17" t="s">
        <v>3774</v>
      </c>
      <c r="AB25" s="13" t="s">
        <v>3775</v>
      </c>
      <c r="AC25" s="13" t="s">
        <v>3770</v>
      </c>
      <c r="AD25" s="13" t="s">
        <v>3762</v>
      </c>
      <c r="AE25" s="13" t="s">
        <v>3770</v>
      </c>
      <c r="AF25" t="s">
        <v>3776</v>
      </c>
    </row>
    <row r="26" spans="1:32" ht="36" customHeight="1" x14ac:dyDescent="0.25">
      <c r="A26" s="14" t="s">
        <v>3866</v>
      </c>
      <c r="B26" s="13" t="s">
        <v>3867</v>
      </c>
      <c r="C26" s="13" t="s">
        <v>3868</v>
      </c>
      <c r="D26" s="13"/>
      <c r="E26" s="13" t="s">
        <v>3869</v>
      </c>
      <c r="F26" s="13" t="s">
        <v>3870</v>
      </c>
      <c r="G26" s="13" t="s">
        <v>3871</v>
      </c>
      <c r="H26" s="13" t="s">
        <v>3869</v>
      </c>
      <c r="I26" s="13" t="s">
        <v>3872</v>
      </c>
      <c r="J26" s="13" t="s">
        <v>3873</v>
      </c>
      <c r="K26" s="13" t="s">
        <v>3869</v>
      </c>
      <c r="L26" s="13" t="s">
        <v>3874</v>
      </c>
      <c r="M26" s="13" t="s">
        <v>3869</v>
      </c>
      <c r="N26" s="13" t="s">
        <v>3875</v>
      </c>
      <c r="O26" s="13" t="s">
        <v>3872</v>
      </c>
      <c r="P26" s="13" t="s">
        <v>3876</v>
      </c>
      <c r="Q26" s="13" t="s">
        <v>3877</v>
      </c>
      <c r="R26" s="13" t="s">
        <v>3878</v>
      </c>
      <c r="S26" s="13" t="s">
        <v>3878</v>
      </c>
      <c r="T26" s="13" t="s">
        <v>3879</v>
      </c>
      <c r="U26" s="13" t="s">
        <v>3880</v>
      </c>
      <c r="V26" s="13" t="s">
        <v>3872</v>
      </c>
      <c r="W26" s="13" t="s">
        <v>3872</v>
      </c>
      <c r="X26" s="13" t="s">
        <v>3872</v>
      </c>
      <c r="Y26" s="13" t="s">
        <v>3881</v>
      </c>
      <c r="Z26" s="13" t="s">
        <v>3872</v>
      </c>
      <c r="AA26" s="17" t="s">
        <v>3880</v>
      </c>
      <c r="AB26" s="13" t="s">
        <v>3882</v>
      </c>
      <c r="AC26" s="13" t="s">
        <v>3883</v>
      </c>
      <c r="AD26" s="13" t="s">
        <v>3878</v>
      </c>
      <c r="AE26" s="13" t="s">
        <v>3880</v>
      </c>
      <c r="AF26" t="s">
        <v>3884</v>
      </c>
    </row>
    <row r="27" spans="1:32" ht="36" customHeight="1" x14ac:dyDescent="0.25">
      <c r="A27" s="14" t="s">
        <v>3885</v>
      </c>
      <c r="B27" s="13" t="s">
        <v>3886</v>
      </c>
      <c r="C27" s="13" t="s">
        <v>3887</v>
      </c>
      <c r="D27" s="13"/>
      <c r="E27" s="13" t="s">
        <v>3888</v>
      </c>
      <c r="F27" s="13" t="s">
        <v>3889</v>
      </c>
      <c r="G27" s="13" t="s">
        <v>3890</v>
      </c>
      <c r="H27" s="13" t="s">
        <v>3891</v>
      </c>
      <c r="I27" s="13" t="s">
        <v>3892</v>
      </c>
      <c r="J27" s="13" t="s">
        <v>3893</v>
      </c>
      <c r="K27" s="13" t="s">
        <v>3894</v>
      </c>
      <c r="L27" s="13" t="s">
        <v>3894</v>
      </c>
      <c r="M27" s="13" t="s">
        <v>3894</v>
      </c>
      <c r="N27" s="13" t="s">
        <v>3895</v>
      </c>
      <c r="O27" s="13" t="s">
        <v>3896</v>
      </c>
      <c r="P27" s="13" t="s">
        <v>3897</v>
      </c>
      <c r="Q27" s="13" t="s">
        <v>3898</v>
      </c>
      <c r="R27" s="13" t="s">
        <v>3766</v>
      </c>
      <c r="S27" s="13" t="s">
        <v>3769</v>
      </c>
      <c r="T27" s="13" t="s">
        <v>3766</v>
      </c>
      <c r="U27" s="13" t="s">
        <v>3899</v>
      </c>
      <c r="V27" s="13" t="s">
        <v>3900</v>
      </c>
      <c r="W27" s="13" t="s">
        <v>3901</v>
      </c>
      <c r="X27" s="13" t="s">
        <v>3902</v>
      </c>
      <c r="Y27" s="13" t="s">
        <v>3896</v>
      </c>
      <c r="Z27" s="13" t="s">
        <v>3903</v>
      </c>
      <c r="AA27" s="17" t="s">
        <v>3898</v>
      </c>
      <c r="AB27" s="13" t="s">
        <v>3766</v>
      </c>
      <c r="AC27" s="13" t="s">
        <v>3904</v>
      </c>
      <c r="AD27" s="13" t="s">
        <v>3896</v>
      </c>
      <c r="AE27" s="13" t="s">
        <v>3905</v>
      </c>
      <c r="AF27" t="s">
        <v>3906</v>
      </c>
    </row>
    <row r="28" spans="1:32" ht="36" customHeight="1" x14ac:dyDescent="0.25">
      <c r="A28" s="14" t="s">
        <v>3777</v>
      </c>
      <c r="B28" s="13" t="s">
        <v>215</v>
      </c>
      <c r="C28" s="13"/>
      <c r="D28" s="13"/>
      <c r="E28" s="13"/>
      <c r="F28" s="13"/>
      <c r="G28" s="13" t="s">
        <v>215</v>
      </c>
      <c r="H28" s="13"/>
      <c r="I28" s="13" t="s">
        <v>215</v>
      </c>
      <c r="J28" s="13"/>
      <c r="K28" s="13"/>
      <c r="L28" s="13" t="s">
        <v>215</v>
      </c>
      <c r="M28" s="13" t="s">
        <v>215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 t="s">
        <v>5855</v>
      </c>
      <c r="AB28" s="13"/>
      <c r="AC28" s="13"/>
      <c r="AD28" s="13"/>
      <c r="AE28" s="13"/>
      <c r="AF28" t="s">
        <v>3778</v>
      </c>
    </row>
    <row r="29" spans="1:32" ht="23.1" customHeight="1" x14ac:dyDescent="0.25">
      <c r="A29" s="15" t="s">
        <v>1623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</row>
    <row r="30" spans="1:32" ht="36" customHeight="1" x14ac:dyDescent="0.25">
      <c r="A30" s="14" t="s">
        <v>3907</v>
      </c>
      <c r="B30" s="13" t="s">
        <v>3908</v>
      </c>
      <c r="C30" s="13" t="s">
        <v>3909</v>
      </c>
      <c r="D30" s="13" t="s">
        <v>3910</v>
      </c>
      <c r="E30" s="13" t="s">
        <v>3911</v>
      </c>
      <c r="F30" s="13"/>
      <c r="G30" s="13" t="s">
        <v>3912</v>
      </c>
      <c r="H30" s="13" t="s">
        <v>3913</v>
      </c>
      <c r="I30" s="13" t="s">
        <v>3914</v>
      </c>
      <c r="J30" s="13" t="s">
        <v>3915</v>
      </c>
      <c r="K30" s="13" t="s">
        <v>3916</v>
      </c>
      <c r="L30" s="13" t="s">
        <v>3917</v>
      </c>
      <c r="M30" s="13" t="s">
        <v>3918</v>
      </c>
      <c r="N30" s="13" t="s">
        <v>3919</v>
      </c>
      <c r="O30" s="13"/>
      <c r="P30" s="13" t="s">
        <v>3920</v>
      </c>
      <c r="Q30" s="13" t="s">
        <v>3921</v>
      </c>
      <c r="R30" s="13" t="s">
        <v>3922</v>
      </c>
      <c r="S30" s="13"/>
      <c r="T30" s="13"/>
      <c r="U30" s="13" t="s">
        <v>3923</v>
      </c>
      <c r="V30" s="13" t="s">
        <v>3924</v>
      </c>
      <c r="W30" s="13"/>
      <c r="X30" s="13" t="s">
        <v>3925</v>
      </c>
      <c r="Y30" s="13" t="s">
        <v>3926</v>
      </c>
      <c r="Z30" s="13" t="s">
        <v>3927</v>
      </c>
      <c r="AA30" s="17" t="s">
        <v>5859</v>
      </c>
      <c r="AB30" s="13" t="s">
        <v>3925</v>
      </c>
      <c r="AC30" s="13" t="s">
        <v>3928</v>
      </c>
      <c r="AD30" s="13"/>
      <c r="AE30" s="13" t="s">
        <v>3929</v>
      </c>
      <c r="AF30" t="s">
        <v>2418</v>
      </c>
    </row>
    <row r="31" spans="1:32" ht="23.1" customHeight="1" x14ac:dyDescent="0.25">
      <c r="A31" s="15" t="s">
        <v>3930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15"/>
      <c r="AC31" s="15"/>
      <c r="AD31" s="15"/>
      <c r="AE31" s="15"/>
    </row>
    <row r="32" spans="1:32" ht="36" customHeight="1" x14ac:dyDescent="0.25">
      <c r="A32" s="14" t="s">
        <v>3931</v>
      </c>
      <c r="B32" s="13" t="s">
        <v>557</v>
      </c>
      <c r="C32" s="13"/>
      <c r="D32" s="13"/>
      <c r="E32" s="13"/>
      <c r="F32" s="13"/>
      <c r="G32" s="13" t="s">
        <v>3932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/>
      <c r="AB32" s="13"/>
      <c r="AC32" s="13"/>
      <c r="AD32" s="13"/>
      <c r="AE32" s="13"/>
      <c r="AF32" t="s">
        <v>3933</v>
      </c>
    </row>
    <row r="33" spans="1:32" ht="23.1" customHeight="1" x14ac:dyDescent="0.25">
      <c r="A33" s="15" t="s">
        <v>3934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15"/>
      <c r="AC33" s="15"/>
      <c r="AD33" s="15"/>
      <c r="AE33" s="15"/>
      <c r="AF33" t="s">
        <v>3935</v>
      </c>
    </row>
    <row r="34" spans="1:32" ht="23.1" customHeight="1" x14ac:dyDescent="0.25">
      <c r="A34" s="15" t="s">
        <v>3936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15"/>
      <c r="AC34" s="15"/>
      <c r="AD34" s="15"/>
      <c r="AE34" s="15"/>
      <c r="AF34" t="s">
        <v>3935</v>
      </c>
    </row>
    <row r="35" spans="1:32" ht="36" customHeight="1" x14ac:dyDescent="0.25">
      <c r="A35" s="14" t="s">
        <v>3937</v>
      </c>
      <c r="B35" s="13" t="s">
        <v>3938</v>
      </c>
      <c r="C35" s="13" t="s">
        <v>3939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5860</v>
      </c>
      <c r="AB35" s="13"/>
      <c r="AC35" s="13"/>
      <c r="AD35" s="13"/>
      <c r="AE35" s="13"/>
      <c r="AF35" t="s">
        <v>3940</v>
      </c>
    </row>
    <row r="36" spans="1:32" ht="36" customHeight="1" x14ac:dyDescent="0.25">
      <c r="A36" s="14" t="s">
        <v>3941</v>
      </c>
      <c r="B36" s="13" t="s">
        <v>3942</v>
      </c>
      <c r="C36" s="13"/>
      <c r="D36" s="13"/>
      <c r="E36" s="13"/>
      <c r="F36" s="13"/>
      <c r="G36" s="13"/>
      <c r="H36" s="13"/>
      <c r="I36" s="13"/>
      <c r="J36" s="13"/>
      <c r="K36" s="13"/>
      <c r="L36" s="13" t="s">
        <v>3943</v>
      </c>
      <c r="M36" s="13" t="s">
        <v>3944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5861</v>
      </c>
      <c r="AB36" s="13"/>
      <c r="AC36" s="13"/>
      <c r="AD36" s="13"/>
      <c r="AE36" s="13"/>
      <c r="AF36" t="s">
        <v>3945</v>
      </c>
    </row>
  </sheetData>
  <mergeCells count="1">
    <mergeCell ref="A1:A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14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Directory'!A1","Maintenance &amp; Updates — release cadence, project health, and support lifecycle"),"Maintenance &amp; Updates — release cadence, project health, and support lifecycle")</f>
        <v>Maintenance &amp; Updates — release cadence, project health, and support lifecycle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3946</v>
      </c>
      <c r="B3" s="13" t="s">
        <v>3821</v>
      </c>
      <c r="C3" s="13" t="s">
        <v>3822</v>
      </c>
      <c r="D3" s="13" t="s">
        <v>3823</v>
      </c>
      <c r="E3" s="13" t="s">
        <v>3824</v>
      </c>
      <c r="F3" s="13" t="s">
        <v>3825</v>
      </c>
      <c r="G3" s="13" t="s">
        <v>3826</v>
      </c>
      <c r="H3" s="13" t="s">
        <v>3827</v>
      </c>
      <c r="I3" s="13" t="s">
        <v>3828</v>
      </c>
      <c r="J3" s="13" t="s">
        <v>3829</v>
      </c>
      <c r="K3" s="13" t="s">
        <v>3830</v>
      </c>
      <c r="L3" s="13" t="s">
        <v>3831</v>
      </c>
      <c r="M3" s="13" t="s">
        <v>3832</v>
      </c>
      <c r="N3" s="13" t="s">
        <v>3833</v>
      </c>
      <c r="O3" s="13" t="s">
        <v>3834</v>
      </c>
      <c r="P3" s="13" t="s">
        <v>3835</v>
      </c>
      <c r="Q3" s="13" t="s">
        <v>3836</v>
      </c>
      <c r="R3" s="13" t="s">
        <v>3837</v>
      </c>
      <c r="S3" s="13" t="s">
        <v>3838</v>
      </c>
      <c r="T3" s="13" t="s">
        <v>3837</v>
      </c>
      <c r="U3" s="13" t="s">
        <v>3839</v>
      </c>
      <c r="V3" s="13" t="s">
        <v>3840</v>
      </c>
      <c r="W3" s="13" t="s">
        <v>3841</v>
      </c>
      <c r="X3" s="13" t="s">
        <v>3842</v>
      </c>
      <c r="Y3" s="13" t="s">
        <v>3843</v>
      </c>
      <c r="Z3" s="13" t="s">
        <v>3844</v>
      </c>
      <c r="AA3" s="17" t="s">
        <v>3845</v>
      </c>
      <c r="AB3" s="13" t="s">
        <v>3842</v>
      </c>
      <c r="AC3" s="13" t="s">
        <v>3825</v>
      </c>
      <c r="AD3" s="13" t="s">
        <v>3837</v>
      </c>
      <c r="AE3" s="13" t="s">
        <v>3846</v>
      </c>
      <c r="AF3" t="s">
        <v>3847</v>
      </c>
    </row>
    <row r="4" spans="1:32" ht="36" customHeight="1" x14ac:dyDescent="0.25">
      <c r="A4" s="14" t="s">
        <v>3947</v>
      </c>
      <c r="B4" s="13" t="s">
        <v>3849</v>
      </c>
      <c r="C4" s="13" t="s">
        <v>3850</v>
      </c>
      <c r="D4" s="13" t="s">
        <v>3851</v>
      </c>
      <c r="E4" s="13" t="s">
        <v>3852</v>
      </c>
      <c r="F4" s="13" t="s">
        <v>3853</v>
      </c>
      <c r="G4" s="13" t="s">
        <v>3854</v>
      </c>
      <c r="H4" s="13" t="s">
        <v>3855</v>
      </c>
      <c r="I4" s="13" t="s">
        <v>3856</v>
      </c>
      <c r="J4" s="13" t="s">
        <v>3857</v>
      </c>
      <c r="K4" s="13" t="s">
        <v>3852</v>
      </c>
      <c r="L4" s="13" t="s">
        <v>3852</v>
      </c>
      <c r="M4" s="13" t="s">
        <v>3852</v>
      </c>
      <c r="N4" s="13" t="s">
        <v>3858</v>
      </c>
      <c r="O4" s="13" t="s">
        <v>3859</v>
      </c>
      <c r="P4" s="13" t="s">
        <v>1078</v>
      </c>
      <c r="Q4" s="13" t="s">
        <v>1079</v>
      </c>
      <c r="R4" s="13" t="s">
        <v>3860</v>
      </c>
      <c r="S4" s="13" t="s">
        <v>3859</v>
      </c>
      <c r="T4" s="13" t="s">
        <v>1079</v>
      </c>
      <c r="U4" s="13" t="s">
        <v>1079</v>
      </c>
      <c r="V4" s="13" t="s">
        <v>3861</v>
      </c>
      <c r="W4" s="13" t="s">
        <v>3859</v>
      </c>
      <c r="X4" s="13" t="s">
        <v>3859</v>
      </c>
      <c r="Y4" s="13" t="s">
        <v>3862</v>
      </c>
      <c r="Z4" s="13" t="s">
        <v>3852</v>
      </c>
      <c r="AA4" s="17" t="s">
        <v>557</v>
      </c>
      <c r="AB4" s="13" t="s">
        <v>3859</v>
      </c>
      <c r="AC4" s="13" t="s">
        <v>3863</v>
      </c>
      <c r="AD4" s="13" t="s">
        <v>3859</v>
      </c>
      <c r="AE4" s="13" t="s">
        <v>3864</v>
      </c>
      <c r="AF4" t="s">
        <v>3865</v>
      </c>
    </row>
    <row r="5" spans="1:32" ht="36" customHeight="1" x14ac:dyDescent="0.25">
      <c r="A5" s="14" t="s">
        <v>3948</v>
      </c>
      <c r="B5" s="13" t="s">
        <v>3797</v>
      </c>
      <c r="C5" s="13" t="s">
        <v>3798</v>
      </c>
      <c r="D5" s="13" t="s">
        <v>3799</v>
      </c>
      <c r="E5" s="13" t="s">
        <v>3800</v>
      </c>
      <c r="F5" s="13" t="s">
        <v>3801</v>
      </c>
      <c r="G5" s="13" t="s">
        <v>3802</v>
      </c>
      <c r="H5" s="13" t="s">
        <v>3803</v>
      </c>
      <c r="I5" s="13" t="s">
        <v>3804</v>
      </c>
      <c r="J5" s="13" t="s">
        <v>3801</v>
      </c>
      <c r="K5" s="13" t="s">
        <v>3805</v>
      </c>
      <c r="L5" s="13" t="s">
        <v>3806</v>
      </c>
      <c r="M5" s="13" t="s">
        <v>3807</v>
      </c>
      <c r="N5" s="13" t="s">
        <v>3808</v>
      </c>
      <c r="O5" s="13" t="s">
        <v>3809</v>
      </c>
      <c r="P5" s="13" t="s">
        <v>1094</v>
      </c>
      <c r="Q5" s="13" t="s">
        <v>1095</v>
      </c>
      <c r="R5" s="13" t="s">
        <v>3810</v>
      </c>
      <c r="S5" s="13" t="s">
        <v>1097</v>
      </c>
      <c r="T5" s="13" t="s">
        <v>1095</v>
      </c>
      <c r="U5" s="13" t="s">
        <v>1095</v>
      </c>
      <c r="V5" s="13" t="s">
        <v>3803</v>
      </c>
      <c r="W5" s="13" t="s">
        <v>3811</v>
      </c>
      <c r="X5" s="13" t="s">
        <v>3812</v>
      </c>
      <c r="Y5" s="13" t="s">
        <v>3813</v>
      </c>
      <c r="Z5" s="13" t="s">
        <v>3814</v>
      </c>
      <c r="AA5" s="17" t="s">
        <v>3815</v>
      </c>
      <c r="AB5" s="13" t="s">
        <v>3816</v>
      </c>
      <c r="AC5" s="13" t="s">
        <v>1105</v>
      </c>
      <c r="AD5" s="13" t="s">
        <v>1106</v>
      </c>
      <c r="AE5" s="13" t="s">
        <v>1101</v>
      </c>
      <c r="AF5" t="s">
        <v>1107</v>
      </c>
    </row>
    <row r="6" spans="1:32" ht="36" customHeight="1" x14ac:dyDescent="0.25">
      <c r="A6" s="14" t="s">
        <v>3949</v>
      </c>
      <c r="B6" s="13" t="s">
        <v>3754</v>
      </c>
      <c r="C6" s="13" t="s">
        <v>3755</v>
      </c>
      <c r="D6" s="13" t="s">
        <v>3756</v>
      </c>
      <c r="E6" s="13" t="s">
        <v>3757</v>
      </c>
      <c r="F6" s="13"/>
      <c r="G6" s="13" t="s">
        <v>3758</v>
      </c>
      <c r="H6" s="13" t="s">
        <v>3759</v>
      </c>
      <c r="I6" s="13" t="s">
        <v>3760</v>
      </c>
      <c r="J6" s="13" t="s">
        <v>3761</v>
      </c>
      <c r="K6" s="13" t="s">
        <v>3762</v>
      </c>
      <c r="L6" s="13" t="s">
        <v>3763</v>
      </c>
      <c r="M6" s="13" t="s">
        <v>3764</v>
      </c>
      <c r="N6" s="13" t="s">
        <v>3765</v>
      </c>
      <c r="O6" s="13" t="s">
        <v>3560</v>
      </c>
      <c r="P6" s="13" t="s">
        <v>3766</v>
      </c>
      <c r="Q6" s="13" t="s">
        <v>3767</v>
      </c>
      <c r="R6" s="13" t="s">
        <v>3768</v>
      </c>
      <c r="S6" s="13" t="s">
        <v>3769</v>
      </c>
      <c r="T6" s="13" t="s">
        <v>3770</v>
      </c>
      <c r="U6" s="13" t="s">
        <v>3771</v>
      </c>
      <c r="V6" s="13" t="s">
        <v>3771</v>
      </c>
      <c r="W6" s="13" t="s">
        <v>3560</v>
      </c>
      <c r="X6" s="13" t="s">
        <v>3772</v>
      </c>
      <c r="Y6" s="13" t="s">
        <v>3762</v>
      </c>
      <c r="Z6" s="13" t="s">
        <v>3773</v>
      </c>
      <c r="AA6" s="17" t="s">
        <v>3774</v>
      </c>
      <c r="AB6" s="13" t="s">
        <v>3775</v>
      </c>
      <c r="AC6" s="13" t="s">
        <v>3770</v>
      </c>
      <c r="AD6" s="13" t="s">
        <v>3762</v>
      </c>
      <c r="AE6" s="13" t="s">
        <v>3770</v>
      </c>
      <c r="AF6" t="s">
        <v>3776</v>
      </c>
    </row>
    <row r="7" spans="1:32" ht="36" customHeight="1" x14ac:dyDescent="0.25">
      <c r="A7" s="14" t="s">
        <v>3950</v>
      </c>
      <c r="B7" s="13" t="s">
        <v>3867</v>
      </c>
      <c r="C7" s="13" t="s">
        <v>3868</v>
      </c>
      <c r="D7" s="13"/>
      <c r="E7" s="13" t="s">
        <v>3869</v>
      </c>
      <c r="F7" s="13" t="s">
        <v>3870</v>
      </c>
      <c r="G7" s="13" t="s">
        <v>3871</v>
      </c>
      <c r="H7" s="13" t="s">
        <v>3869</v>
      </c>
      <c r="I7" s="13" t="s">
        <v>3872</v>
      </c>
      <c r="J7" s="13" t="s">
        <v>3873</v>
      </c>
      <c r="K7" s="13" t="s">
        <v>3869</v>
      </c>
      <c r="L7" s="13" t="s">
        <v>3874</v>
      </c>
      <c r="M7" s="13" t="s">
        <v>3869</v>
      </c>
      <c r="N7" s="13" t="s">
        <v>3875</v>
      </c>
      <c r="O7" s="13" t="s">
        <v>3872</v>
      </c>
      <c r="P7" s="13" t="s">
        <v>3876</v>
      </c>
      <c r="Q7" s="13" t="s">
        <v>3877</v>
      </c>
      <c r="R7" s="13" t="s">
        <v>3878</v>
      </c>
      <c r="S7" s="13" t="s">
        <v>3878</v>
      </c>
      <c r="T7" s="13" t="s">
        <v>3879</v>
      </c>
      <c r="U7" s="13" t="s">
        <v>3880</v>
      </c>
      <c r="V7" s="13" t="s">
        <v>3872</v>
      </c>
      <c r="W7" s="13" t="s">
        <v>3872</v>
      </c>
      <c r="X7" s="13" t="s">
        <v>3872</v>
      </c>
      <c r="Y7" s="13" t="s">
        <v>3881</v>
      </c>
      <c r="Z7" s="13" t="s">
        <v>3872</v>
      </c>
      <c r="AA7" s="17" t="s">
        <v>3880</v>
      </c>
      <c r="AB7" s="13" t="s">
        <v>3882</v>
      </c>
      <c r="AC7" s="13" t="s">
        <v>3883</v>
      </c>
      <c r="AD7" s="13" t="s">
        <v>3878</v>
      </c>
      <c r="AE7" s="13" t="s">
        <v>3880</v>
      </c>
    </row>
    <row r="8" spans="1:32" ht="36" customHeight="1" x14ac:dyDescent="0.25">
      <c r="A8" s="14" t="s">
        <v>3951</v>
      </c>
      <c r="B8" s="13" t="s">
        <v>3886</v>
      </c>
      <c r="C8" s="13" t="s">
        <v>3887</v>
      </c>
      <c r="D8" s="13"/>
      <c r="E8" s="13" t="s">
        <v>3888</v>
      </c>
      <c r="F8" s="13" t="s">
        <v>3889</v>
      </c>
      <c r="G8" s="13" t="s">
        <v>3890</v>
      </c>
      <c r="H8" s="13" t="s">
        <v>3891</v>
      </c>
      <c r="I8" s="13" t="s">
        <v>3892</v>
      </c>
      <c r="J8" s="13" t="s">
        <v>3893</v>
      </c>
      <c r="K8" s="13" t="s">
        <v>3894</v>
      </c>
      <c r="L8" s="13" t="s">
        <v>3894</v>
      </c>
      <c r="M8" s="13" t="s">
        <v>3894</v>
      </c>
      <c r="N8" s="13" t="s">
        <v>3895</v>
      </c>
      <c r="O8" s="13" t="s">
        <v>3896</v>
      </c>
      <c r="P8" s="13" t="s">
        <v>3897</v>
      </c>
      <c r="Q8" s="13" t="s">
        <v>3898</v>
      </c>
      <c r="R8" s="13" t="s">
        <v>3766</v>
      </c>
      <c r="S8" s="13" t="s">
        <v>3769</v>
      </c>
      <c r="T8" s="13" t="s">
        <v>3766</v>
      </c>
      <c r="U8" s="13" t="s">
        <v>3899</v>
      </c>
      <c r="V8" s="13" t="s">
        <v>3900</v>
      </c>
      <c r="W8" s="13" t="s">
        <v>3901</v>
      </c>
      <c r="X8" s="13" t="s">
        <v>3902</v>
      </c>
      <c r="Y8" s="13" t="s">
        <v>3896</v>
      </c>
      <c r="Z8" s="13" t="s">
        <v>3903</v>
      </c>
      <c r="AA8" s="17" t="s">
        <v>3898</v>
      </c>
      <c r="AB8" s="13" t="s">
        <v>3766</v>
      </c>
      <c r="AC8" s="13" t="s">
        <v>3904</v>
      </c>
      <c r="AD8" s="13" t="s">
        <v>3896</v>
      </c>
      <c r="AE8" s="13" t="s">
        <v>3905</v>
      </c>
      <c r="AF8" t="s">
        <v>3906</v>
      </c>
    </row>
    <row r="9" spans="1:32" ht="23.1" customHeight="1" x14ac:dyDescent="0.25">
      <c r="A9" s="15" t="s">
        <v>3952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</row>
    <row r="10" spans="1:32" ht="23.1" customHeight="1" x14ac:dyDescent="0.25">
      <c r="A10" s="15" t="s">
        <v>3752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  <c r="AF10" t="s">
        <v>1075</v>
      </c>
    </row>
    <row r="11" spans="1:32" ht="36" customHeight="1" x14ac:dyDescent="0.25">
      <c r="A11" s="14" t="s">
        <v>3777</v>
      </c>
      <c r="B11" s="13" t="s">
        <v>215</v>
      </c>
      <c r="C11" s="13"/>
      <c r="D11" s="13"/>
      <c r="E11" s="13"/>
      <c r="F11" s="13"/>
      <c r="G11" s="13" t="s">
        <v>215</v>
      </c>
      <c r="H11" s="13"/>
      <c r="I11" s="13" t="s">
        <v>215</v>
      </c>
      <c r="J11" s="13"/>
      <c r="K11" s="13"/>
      <c r="L11" s="13" t="s">
        <v>215</v>
      </c>
      <c r="M11" s="13" t="s">
        <v>215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/>
      <c r="AB11" s="13"/>
      <c r="AC11" s="13"/>
      <c r="AD11" s="13"/>
      <c r="AE11" s="13"/>
      <c r="AF11" t="s">
        <v>3778</v>
      </c>
    </row>
    <row r="12" spans="1:32" ht="36" customHeight="1" x14ac:dyDescent="0.25">
      <c r="A12" s="14" t="s">
        <v>3953</v>
      </c>
      <c r="B12" s="13" t="s">
        <v>3954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 t="s">
        <v>3955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/>
      <c r="AB12" s="13"/>
      <c r="AC12" s="13"/>
      <c r="AD12" s="13"/>
      <c r="AE12" s="13"/>
      <c r="AF12" t="s">
        <v>3945</v>
      </c>
    </row>
    <row r="13" spans="1:32" ht="23.1" customHeight="1" x14ac:dyDescent="0.25">
      <c r="A13" s="15" t="s">
        <v>3956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5"/>
      <c r="AC13" s="15"/>
      <c r="AD13" s="15"/>
      <c r="AE13" s="15"/>
      <c r="AF13" t="s">
        <v>3935</v>
      </c>
    </row>
    <row r="14" spans="1:32" ht="23.1" customHeight="1" x14ac:dyDescent="0.25">
      <c r="A14" s="15" t="s">
        <v>3957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15"/>
      <c r="AC14" s="15"/>
      <c r="AD14" s="15"/>
      <c r="AE14" s="15"/>
      <c r="AF14" t="s">
        <v>3935</v>
      </c>
    </row>
  </sheetData>
  <mergeCells count="1">
    <mergeCell ref="A1:A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16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Directory'!A1","Developer Extensibility"),"Developer Extensibility")</f>
        <v>Developer Extensibility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3958</v>
      </c>
      <c r="B3" s="13" t="s">
        <v>3959</v>
      </c>
      <c r="C3" s="13" t="s">
        <v>3960</v>
      </c>
      <c r="D3" s="13" t="s">
        <v>3961</v>
      </c>
      <c r="E3" s="13" t="s">
        <v>3962</v>
      </c>
      <c r="F3" s="13" t="s">
        <v>3963</v>
      </c>
      <c r="G3" s="13" t="s">
        <v>3964</v>
      </c>
      <c r="H3" s="13" t="s">
        <v>3965</v>
      </c>
      <c r="I3" s="13" t="s">
        <v>3966</v>
      </c>
      <c r="J3" s="13"/>
      <c r="K3" s="13" t="s">
        <v>3967</v>
      </c>
      <c r="L3" s="13" t="s">
        <v>3968</v>
      </c>
      <c r="M3" s="13" t="s">
        <v>3969</v>
      </c>
      <c r="N3" s="13"/>
      <c r="O3" s="13"/>
      <c r="P3" s="13"/>
      <c r="Q3" s="13" t="s">
        <v>535</v>
      </c>
      <c r="R3" s="13" t="s">
        <v>3970</v>
      </c>
      <c r="S3" s="13" t="s">
        <v>3971</v>
      </c>
      <c r="T3" s="13"/>
      <c r="U3" s="13"/>
      <c r="V3" s="13" t="s">
        <v>535</v>
      </c>
      <c r="W3" s="13" t="s">
        <v>3972</v>
      </c>
      <c r="X3" s="13" t="s">
        <v>3973</v>
      </c>
      <c r="Y3" s="13" t="s">
        <v>3974</v>
      </c>
      <c r="Z3" s="13" t="s">
        <v>3975</v>
      </c>
      <c r="AA3" s="17"/>
      <c r="AB3" s="13"/>
      <c r="AC3" s="13"/>
      <c r="AD3" s="13" t="s">
        <v>3976</v>
      </c>
      <c r="AE3" s="13"/>
      <c r="AF3" t="s">
        <v>3977</v>
      </c>
    </row>
    <row r="4" spans="1:32" ht="36" customHeight="1" x14ac:dyDescent="0.25">
      <c r="A4" s="14" t="s">
        <v>3978</v>
      </c>
      <c r="B4" s="13" t="s">
        <v>215</v>
      </c>
      <c r="C4" s="13"/>
      <c r="D4" s="13" t="s">
        <v>3979</v>
      </c>
      <c r="E4" s="13"/>
      <c r="F4" s="13"/>
      <c r="G4" s="13" t="s">
        <v>3980</v>
      </c>
      <c r="H4" s="13" t="s">
        <v>3981</v>
      </c>
      <c r="I4" s="13" t="s">
        <v>3982</v>
      </c>
      <c r="J4" s="13"/>
      <c r="K4" s="13" t="s">
        <v>3983</v>
      </c>
      <c r="L4" s="13" t="s">
        <v>215</v>
      </c>
      <c r="M4" s="13" t="s">
        <v>215</v>
      </c>
      <c r="N4" s="13"/>
      <c r="O4" s="13"/>
      <c r="P4" s="13"/>
      <c r="Q4" s="13" t="s">
        <v>3984</v>
      </c>
      <c r="R4" s="13"/>
      <c r="S4" s="13" t="s">
        <v>1266</v>
      </c>
      <c r="T4" s="13"/>
      <c r="U4" s="13"/>
      <c r="V4" s="13" t="s">
        <v>1331</v>
      </c>
      <c r="W4" s="13" t="s">
        <v>3985</v>
      </c>
      <c r="X4" s="13" t="s">
        <v>3986</v>
      </c>
      <c r="Y4" s="13" t="s">
        <v>225</v>
      </c>
      <c r="Z4" s="13" t="s">
        <v>3987</v>
      </c>
      <c r="AA4" s="17" t="s">
        <v>3988</v>
      </c>
      <c r="AB4" s="13" t="s">
        <v>3989</v>
      </c>
      <c r="AC4" s="13"/>
      <c r="AD4" s="13" t="s">
        <v>3990</v>
      </c>
      <c r="AE4" s="13"/>
      <c r="AF4" t="s">
        <v>215</v>
      </c>
    </row>
    <row r="5" spans="1:32" ht="36" customHeight="1" x14ac:dyDescent="0.25">
      <c r="A5" s="14" t="s">
        <v>3991</v>
      </c>
      <c r="B5" s="13" t="s">
        <v>3992</v>
      </c>
      <c r="C5" s="13"/>
      <c r="D5" s="13" t="s">
        <v>3993</v>
      </c>
      <c r="E5" s="13" t="s">
        <v>3994</v>
      </c>
      <c r="F5" s="13" t="s">
        <v>3995</v>
      </c>
      <c r="G5" s="13" t="s">
        <v>3996</v>
      </c>
      <c r="H5" s="13" t="s">
        <v>3997</v>
      </c>
      <c r="I5" s="13" t="s">
        <v>3998</v>
      </c>
      <c r="J5" s="13"/>
      <c r="K5" s="13" t="s">
        <v>3999</v>
      </c>
      <c r="L5" s="13" t="s">
        <v>215</v>
      </c>
      <c r="M5" s="13" t="s">
        <v>215</v>
      </c>
      <c r="N5" s="13"/>
      <c r="O5" s="13"/>
      <c r="P5" s="13"/>
      <c r="Q5" s="13" t="s">
        <v>4000</v>
      </c>
      <c r="R5" s="13" t="s">
        <v>4001</v>
      </c>
      <c r="S5" s="13" t="s">
        <v>1266</v>
      </c>
      <c r="T5" s="13"/>
      <c r="U5" s="13"/>
      <c r="V5" s="13" t="s">
        <v>4002</v>
      </c>
      <c r="W5" s="13" t="s">
        <v>4003</v>
      </c>
      <c r="X5" s="13" t="s">
        <v>2130</v>
      </c>
      <c r="Y5" s="13" t="s">
        <v>225</v>
      </c>
      <c r="Z5" s="13" t="s">
        <v>4004</v>
      </c>
      <c r="AA5" s="17"/>
      <c r="AB5" s="13" t="s">
        <v>4005</v>
      </c>
      <c r="AC5" s="13"/>
      <c r="AD5" s="13" t="s">
        <v>4006</v>
      </c>
      <c r="AE5" s="13"/>
      <c r="AF5" t="s">
        <v>4007</v>
      </c>
    </row>
    <row r="6" spans="1:32" ht="36" customHeight="1" x14ac:dyDescent="0.25">
      <c r="A6" s="14" t="s">
        <v>4008</v>
      </c>
      <c r="B6" s="13" t="s">
        <v>4009</v>
      </c>
      <c r="C6" s="13" t="s">
        <v>4010</v>
      </c>
      <c r="D6" s="13" t="s">
        <v>4011</v>
      </c>
      <c r="E6" s="13"/>
      <c r="F6" s="13" t="s">
        <v>4012</v>
      </c>
      <c r="G6" s="13" t="s">
        <v>4013</v>
      </c>
      <c r="H6" s="13" t="s">
        <v>4014</v>
      </c>
      <c r="I6" s="13" t="s">
        <v>4015</v>
      </c>
      <c r="J6" s="13"/>
      <c r="K6" s="13" t="s">
        <v>4016</v>
      </c>
      <c r="L6" s="13" t="s">
        <v>4017</v>
      </c>
      <c r="M6" s="13" t="s">
        <v>4018</v>
      </c>
      <c r="N6" s="13"/>
      <c r="O6" s="13" t="s">
        <v>4019</v>
      </c>
      <c r="P6" s="13"/>
      <c r="Q6" s="13" t="s">
        <v>4020</v>
      </c>
      <c r="R6" s="13"/>
      <c r="S6" s="13" t="s">
        <v>4021</v>
      </c>
      <c r="T6" s="13"/>
      <c r="U6" s="13"/>
      <c r="V6" s="13" t="s">
        <v>4022</v>
      </c>
      <c r="W6" s="13" t="s">
        <v>4023</v>
      </c>
      <c r="X6" s="13" t="s">
        <v>4024</v>
      </c>
      <c r="Y6" s="13" t="s">
        <v>562</v>
      </c>
      <c r="Z6" s="13" t="s">
        <v>4025</v>
      </c>
      <c r="AA6" s="17"/>
      <c r="AB6" s="13"/>
      <c r="AC6" s="13"/>
      <c r="AD6" s="13" t="s">
        <v>4026</v>
      </c>
      <c r="AE6" s="13"/>
      <c r="AF6" t="s">
        <v>4027</v>
      </c>
    </row>
    <row r="7" spans="1:32" ht="36" customHeight="1" x14ac:dyDescent="0.25">
      <c r="A7" s="14" t="s">
        <v>4028</v>
      </c>
      <c r="B7" s="13" t="s">
        <v>4029</v>
      </c>
      <c r="C7" s="13"/>
      <c r="D7" s="13" t="s">
        <v>4030</v>
      </c>
      <c r="E7" s="13"/>
      <c r="F7" s="13" t="s">
        <v>4031</v>
      </c>
      <c r="G7" s="13" t="s">
        <v>4032</v>
      </c>
      <c r="H7" s="13" t="s">
        <v>4033</v>
      </c>
      <c r="I7" s="13" t="s">
        <v>228</v>
      </c>
      <c r="J7" s="13"/>
      <c r="K7" s="13" t="s">
        <v>4034</v>
      </c>
      <c r="L7" s="13" t="s">
        <v>4035</v>
      </c>
      <c r="M7" s="13" t="s">
        <v>4036</v>
      </c>
      <c r="N7" s="13"/>
      <c r="O7" s="13" t="s">
        <v>4037</v>
      </c>
      <c r="P7" s="13"/>
      <c r="Q7" s="13" t="s">
        <v>4038</v>
      </c>
      <c r="R7" s="13"/>
      <c r="S7" s="13" t="s">
        <v>4039</v>
      </c>
      <c r="T7" s="13"/>
      <c r="U7" s="13"/>
      <c r="V7" s="13" t="s">
        <v>4040</v>
      </c>
      <c r="W7" s="13"/>
      <c r="X7" s="13" t="s">
        <v>4041</v>
      </c>
      <c r="Y7" s="13" t="s">
        <v>4042</v>
      </c>
      <c r="Z7" s="13" t="s">
        <v>2678</v>
      </c>
      <c r="AA7" s="17"/>
      <c r="AB7" s="13"/>
      <c r="AC7" s="13"/>
      <c r="AD7" s="13" t="s">
        <v>4043</v>
      </c>
      <c r="AE7" s="13" t="s">
        <v>4044</v>
      </c>
      <c r="AF7" t="s">
        <v>4045</v>
      </c>
    </row>
    <row r="8" spans="1:32" ht="36" customHeight="1" x14ac:dyDescent="0.25">
      <c r="A8" s="14" t="s">
        <v>4046</v>
      </c>
      <c r="B8" s="13" t="s">
        <v>4047</v>
      </c>
      <c r="C8" s="13" t="s">
        <v>4048</v>
      </c>
      <c r="D8" s="13" t="s">
        <v>225</v>
      </c>
      <c r="E8" s="13" t="s">
        <v>4049</v>
      </c>
      <c r="F8" s="13" t="s">
        <v>4050</v>
      </c>
      <c r="G8" s="13" t="s">
        <v>4051</v>
      </c>
      <c r="H8" s="13" t="s">
        <v>4052</v>
      </c>
      <c r="I8" s="13" t="s">
        <v>4053</v>
      </c>
      <c r="J8" s="13" t="s">
        <v>4054</v>
      </c>
      <c r="K8" s="13" t="s">
        <v>4055</v>
      </c>
      <c r="L8" s="13" t="s">
        <v>4056</v>
      </c>
      <c r="M8" s="13" t="s">
        <v>4057</v>
      </c>
      <c r="N8" s="13" t="s">
        <v>4058</v>
      </c>
      <c r="O8" s="13" t="s">
        <v>4059</v>
      </c>
      <c r="P8" s="13"/>
      <c r="Q8" s="13" t="s">
        <v>4058</v>
      </c>
      <c r="R8" s="13" t="s">
        <v>225</v>
      </c>
      <c r="S8" s="13"/>
      <c r="T8" s="13"/>
      <c r="U8" s="13"/>
      <c r="V8" s="13" t="s">
        <v>4060</v>
      </c>
      <c r="W8" s="13" t="s">
        <v>4061</v>
      </c>
      <c r="X8" s="13" t="s">
        <v>4062</v>
      </c>
      <c r="Y8" s="13" t="s">
        <v>4063</v>
      </c>
      <c r="Z8" s="13" t="s">
        <v>2678</v>
      </c>
      <c r="AA8" s="17"/>
      <c r="AB8" s="13" t="s">
        <v>562</v>
      </c>
      <c r="AC8" s="13"/>
      <c r="AD8" s="13" t="s">
        <v>4064</v>
      </c>
      <c r="AE8" s="13" t="s">
        <v>225</v>
      </c>
      <c r="AF8" t="s">
        <v>4065</v>
      </c>
    </row>
    <row r="9" spans="1:32" ht="36" customHeight="1" x14ac:dyDescent="0.25">
      <c r="A9" s="14" t="s">
        <v>4066</v>
      </c>
      <c r="B9" s="13" t="s">
        <v>4067</v>
      </c>
      <c r="C9" s="13"/>
      <c r="D9" s="13" t="s">
        <v>4068</v>
      </c>
      <c r="E9" s="13"/>
      <c r="F9" s="13"/>
      <c r="G9" s="13" t="s">
        <v>4069</v>
      </c>
      <c r="H9" s="13" t="s">
        <v>4070</v>
      </c>
      <c r="I9" s="13" t="s">
        <v>4071</v>
      </c>
      <c r="J9" s="13"/>
      <c r="K9" s="13" t="s">
        <v>4072</v>
      </c>
      <c r="L9" s="13" t="s">
        <v>4073</v>
      </c>
      <c r="M9" s="13" t="s">
        <v>4074</v>
      </c>
      <c r="N9" s="13"/>
      <c r="O9" s="13" t="s">
        <v>4075</v>
      </c>
      <c r="P9" s="13"/>
      <c r="Q9" s="13"/>
      <c r="R9" s="13"/>
      <c r="S9" s="13" t="s">
        <v>4076</v>
      </c>
      <c r="T9" s="13"/>
      <c r="U9" s="13"/>
      <c r="V9" s="13" t="s">
        <v>4077</v>
      </c>
      <c r="W9" s="13" t="s">
        <v>4078</v>
      </c>
      <c r="X9" s="13" t="s">
        <v>562</v>
      </c>
      <c r="Y9" s="13" t="s">
        <v>4079</v>
      </c>
      <c r="Z9" s="13" t="s">
        <v>1039</v>
      </c>
      <c r="AA9" s="17"/>
      <c r="AB9" s="13"/>
      <c r="AC9" s="13"/>
      <c r="AD9" s="13" t="s">
        <v>4080</v>
      </c>
      <c r="AE9" s="13"/>
      <c r="AF9" t="s">
        <v>4081</v>
      </c>
    </row>
    <row r="10" spans="1:32" ht="23.1" customHeight="1" x14ac:dyDescent="0.25">
      <c r="A10" s="15" t="s">
        <v>4082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</row>
    <row r="11" spans="1:32" ht="36" customHeight="1" x14ac:dyDescent="0.25">
      <c r="A11" s="14" t="s">
        <v>4083</v>
      </c>
      <c r="B11" s="13" t="s">
        <v>215</v>
      </c>
      <c r="C11" s="13" t="s">
        <v>215</v>
      </c>
      <c r="D11" s="13" t="s">
        <v>215</v>
      </c>
      <c r="E11" s="13" t="s">
        <v>215</v>
      </c>
      <c r="F11" s="13" t="s">
        <v>215</v>
      </c>
      <c r="G11" s="13" t="s">
        <v>215</v>
      </c>
      <c r="H11" s="13" t="s">
        <v>215</v>
      </c>
      <c r="I11" s="13"/>
      <c r="J11" s="13"/>
      <c r="K11" s="13" t="s">
        <v>215</v>
      </c>
      <c r="L11" s="13" t="s">
        <v>215</v>
      </c>
      <c r="M11" s="13" t="s">
        <v>215</v>
      </c>
      <c r="N11" s="13"/>
      <c r="O11" s="13" t="s">
        <v>215</v>
      </c>
      <c r="P11" s="13"/>
      <c r="Q11" s="13" t="s">
        <v>215</v>
      </c>
      <c r="R11" s="13"/>
      <c r="S11" s="13" t="s">
        <v>215</v>
      </c>
      <c r="T11" s="13"/>
      <c r="U11" s="13"/>
      <c r="V11" s="13" t="s">
        <v>215</v>
      </c>
      <c r="W11" s="13"/>
      <c r="X11" s="13"/>
      <c r="Y11" s="13" t="s">
        <v>215</v>
      </c>
      <c r="Z11" s="13"/>
      <c r="AA11" s="17" t="s">
        <v>225</v>
      </c>
      <c r="AB11" s="13"/>
      <c r="AC11" s="13"/>
      <c r="AD11" s="13" t="s">
        <v>215</v>
      </c>
      <c r="AE11" s="13" t="s">
        <v>215</v>
      </c>
      <c r="AF11" t="s">
        <v>4084</v>
      </c>
    </row>
    <row r="12" spans="1:32" ht="36" customHeight="1" x14ac:dyDescent="0.25">
      <c r="A12" s="14" t="s">
        <v>4085</v>
      </c>
      <c r="B12" s="13" t="s">
        <v>215</v>
      </c>
      <c r="C12" s="13"/>
      <c r="D12" s="13"/>
      <c r="E12" s="13"/>
      <c r="F12" s="13"/>
      <c r="G12" s="13"/>
      <c r="H12" s="13"/>
      <c r="I12" s="13"/>
      <c r="J12" s="13"/>
      <c r="K12" s="13"/>
      <c r="L12" s="13" t="s">
        <v>215</v>
      </c>
      <c r="M12" s="13" t="s">
        <v>215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/>
      <c r="AB12" s="13"/>
      <c r="AC12" s="13"/>
      <c r="AD12" s="13" t="s">
        <v>215</v>
      </c>
      <c r="AE12" s="13"/>
      <c r="AF12" t="s">
        <v>4086</v>
      </c>
    </row>
    <row r="13" spans="1:32" ht="36" customHeight="1" x14ac:dyDescent="0.25">
      <c r="A13" s="14" t="s">
        <v>4087</v>
      </c>
      <c r="B13" s="13" t="s">
        <v>4067</v>
      </c>
      <c r="C13" s="13"/>
      <c r="D13" s="13" t="s">
        <v>4068</v>
      </c>
      <c r="E13" s="13"/>
      <c r="F13" s="13"/>
      <c r="G13" s="13" t="s">
        <v>4069</v>
      </c>
      <c r="H13" s="13" t="s">
        <v>4070</v>
      </c>
      <c r="I13" s="13" t="s">
        <v>4071</v>
      </c>
      <c r="J13" s="13"/>
      <c r="K13" s="13" t="s">
        <v>4072</v>
      </c>
      <c r="L13" s="13" t="s">
        <v>4073</v>
      </c>
      <c r="M13" s="13" t="s">
        <v>4074</v>
      </c>
      <c r="N13" s="13"/>
      <c r="O13" s="13" t="s">
        <v>4075</v>
      </c>
      <c r="P13" s="13"/>
      <c r="Q13" s="13"/>
      <c r="R13" s="13"/>
      <c r="S13" s="13" t="s">
        <v>4076</v>
      </c>
      <c r="T13" s="13"/>
      <c r="U13" s="13"/>
      <c r="V13" s="13" t="s">
        <v>4077</v>
      </c>
      <c r="W13" s="13" t="s">
        <v>4078</v>
      </c>
      <c r="X13" s="13" t="s">
        <v>562</v>
      </c>
      <c r="Y13" s="13" t="s">
        <v>4079</v>
      </c>
      <c r="Z13" s="13" t="s">
        <v>1039</v>
      </c>
      <c r="AA13" s="17" t="s">
        <v>225</v>
      </c>
      <c r="AB13" s="13"/>
      <c r="AC13" s="13"/>
      <c r="AD13" s="13" t="s">
        <v>4080</v>
      </c>
      <c r="AE13" s="13"/>
      <c r="AF13" t="s">
        <v>215</v>
      </c>
    </row>
    <row r="14" spans="1:32" ht="36" customHeight="1" x14ac:dyDescent="0.25">
      <c r="A14" s="14" t="s">
        <v>4088</v>
      </c>
      <c r="B14" s="13" t="s">
        <v>215</v>
      </c>
      <c r="C14" s="13"/>
      <c r="D14" s="13"/>
      <c r="E14" s="13"/>
      <c r="F14" s="13" t="s">
        <v>215</v>
      </c>
      <c r="G14" s="13"/>
      <c r="H14" s="13"/>
      <c r="I14" s="13"/>
      <c r="J14" s="13"/>
      <c r="K14" s="13"/>
      <c r="L14" s="13" t="s">
        <v>215</v>
      </c>
      <c r="M14" s="13" t="s">
        <v>215</v>
      </c>
      <c r="N14" s="13"/>
      <c r="O14" s="13"/>
      <c r="P14" s="13"/>
      <c r="Q14" s="13"/>
      <c r="R14" s="13"/>
      <c r="S14" s="13" t="s">
        <v>215</v>
      </c>
      <c r="T14" s="13"/>
      <c r="U14" s="13"/>
      <c r="V14" s="13"/>
      <c r="W14" s="13"/>
      <c r="X14" s="13"/>
      <c r="Y14" s="13"/>
      <c r="Z14" s="13"/>
      <c r="AA14" s="17" t="s">
        <v>215</v>
      </c>
      <c r="AB14" s="13"/>
      <c r="AC14" s="13"/>
      <c r="AD14" s="13"/>
      <c r="AE14" s="13"/>
      <c r="AF14" t="s">
        <v>4089</v>
      </c>
    </row>
    <row r="15" spans="1:32" ht="36" customHeight="1" x14ac:dyDescent="0.25">
      <c r="A15" s="14" t="s">
        <v>4090</v>
      </c>
      <c r="B15" s="13" t="s">
        <v>1410</v>
      </c>
      <c r="C15" s="13"/>
      <c r="D15" s="13"/>
      <c r="E15" s="13"/>
      <c r="F15" s="13"/>
      <c r="G15" s="13"/>
      <c r="H15" s="13"/>
      <c r="I15" s="13"/>
      <c r="J15" s="13"/>
      <c r="K15" s="13" t="s">
        <v>4091</v>
      </c>
      <c r="L15" s="13" t="s">
        <v>1413</v>
      </c>
      <c r="M15" s="13" t="s">
        <v>1414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225</v>
      </c>
      <c r="AB15" s="13"/>
      <c r="AC15" s="13"/>
      <c r="AD15" s="13"/>
      <c r="AE15" s="13"/>
      <c r="AF15" t="s">
        <v>4092</v>
      </c>
    </row>
    <row r="16" spans="1:32" ht="36" customHeight="1" x14ac:dyDescent="0.25">
      <c r="A16" s="14" t="s">
        <v>4093</v>
      </c>
      <c r="B16" s="13" t="s">
        <v>4094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4095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 t="s">
        <v>225</v>
      </c>
      <c r="AB16" s="13"/>
      <c r="AC16" s="13"/>
      <c r="AD16" s="13"/>
      <c r="AE16" s="13"/>
      <c r="AF16" t="s">
        <v>4096</v>
      </c>
    </row>
  </sheetData>
  <mergeCells count="1">
    <mergeCell ref="A1:AF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36"/>
  <sheetViews>
    <sheetView workbookViewId="0">
      <pane xSplit="2" ySplit="2" topLeftCell="X23" activePane="bottomRight" state="frozen"/>
      <selection pane="topRight" activeCell="C1" sqref="C1"/>
      <selection pane="bottomLeft" activeCell="A3" sqref="A3"/>
      <selection pane="bottomRight" activeCell="AA22" sqref="AA22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Directory'!A1","Developer APIs, Bots &amp; Extensibility — Granular"),"Developer APIs, Bots &amp; Extensibility — Granular")</f>
        <v>Developer APIs, Bots &amp; Extensibility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4097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3977</v>
      </c>
    </row>
    <row r="4" spans="1:32" ht="36" customHeight="1" x14ac:dyDescent="0.25">
      <c r="A4" s="14" t="s">
        <v>4098</v>
      </c>
      <c r="B4" s="13" t="s">
        <v>215</v>
      </c>
      <c r="C4" s="13" t="s">
        <v>215</v>
      </c>
      <c r="D4" s="13"/>
      <c r="E4" s="13" t="s">
        <v>215</v>
      </c>
      <c r="F4" s="13"/>
      <c r="G4" s="13"/>
      <c r="H4" s="13" t="s">
        <v>215</v>
      </c>
      <c r="I4" s="13"/>
      <c r="J4" s="13"/>
      <c r="K4" s="13" t="s">
        <v>215</v>
      </c>
      <c r="L4" s="13" t="s">
        <v>215</v>
      </c>
      <c r="M4" s="13" t="s">
        <v>215</v>
      </c>
      <c r="N4" s="13"/>
      <c r="O4" s="13" t="s">
        <v>215</v>
      </c>
      <c r="P4" s="13"/>
      <c r="Q4" s="13"/>
      <c r="R4" s="13"/>
      <c r="S4" s="13"/>
      <c r="T4" s="13"/>
      <c r="U4" s="13"/>
      <c r="V4" s="13"/>
      <c r="W4" s="13"/>
      <c r="X4" s="13" t="s">
        <v>225</v>
      </c>
      <c r="Y4" s="13" t="s">
        <v>215</v>
      </c>
      <c r="Z4" s="13"/>
      <c r="AA4" s="17"/>
      <c r="AB4" s="13"/>
      <c r="AC4" s="13"/>
      <c r="AD4" s="13"/>
      <c r="AE4" s="13"/>
      <c r="AF4" t="s">
        <v>215</v>
      </c>
    </row>
    <row r="5" spans="1:32" ht="36" customHeight="1" x14ac:dyDescent="0.25">
      <c r="A5" s="14" t="s">
        <v>4099</v>
      </c>
      <c r="B5" s="13" t="s">
        <v>215</v>
      </c>
      <c r="C5" s="13" t="s">
        <v>215</v>
      </c>
      <c r="D5" s="13"/>
      <c r="E5" s="13" t="s">
        <v>215</v>
      </c>
      <c r="F5" s="13"/>
      <c r="G5" s="13" t="s">
        <v>215</v>
      </c>
      <c r="H5" s="13" t="s">
        <v>215</v>
      </c>
      <c r="I5" s="13"/>
      <c r="J5" s="13"/>
      <c r="K5" s="13"/>
      <c r="L5" s="13" t="s">
        <v>215</v>
      </c>
      <c r="M5" s="13" t="s">
        <v>215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 t="s">
        <v>215</v>
      </c>
      <c r="AA5" s="17"/>
      <c r="AB5" s="13"/>
      <c r="AC5" s="13"/>
      <c r="AD5" s="13"/>
      <c r="AE5" s="13"/>
      <c r="AF5" t="s">
        <v>215</v>
      </c>
    </row>
    <row r="6" spans="1:32" ht="36" customHeight="1" x14ac:dyDescent="0.25">
      <c r="A6" s="14" t="s">
        <v>4100</v>
      </c>
      <c r="B6" s="13" t="s">
        <v>215</v>
      </c>
      <c r="C6" s="13" t="s">
        <v>215</v>
      </c>
      <c r="D6" s="13"/>
      <c r="E6" s="13" t="s">
        <v>215</v>
      </c>
      <c r="F6" s="13"/>
      <c r="G6" s="13" t="s">
        <v>215</v>
      </c>
      <c r="H6" s="13" t="s">
        <v>215</v>
      </c>
      <c r="I6" s="13"/>
      <c r="J6" s="13"/>
      <c r="K6" s="13" t="s">
        <v>215</v>
      </c>
      <c r="L6" s="13" t="s">
        <v>215</v>
      </c>
      <c r="M6" s="13" t="s">
        <v>215</v>
      </c>
      <c r="N6" s="13"/>
      <c r="O6" s="13" t="s">
        <v>215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 t="s">
        <v>215</v>
      </c>
      <c r="AA6" s="17"/>
      <c r="AB6" s="13"/>
      <c r="AC6" s="13"/>
      <c r="AD6" s="13"/>
      <c r="AE6" s="13"/>
      <c r="AF6" t="s">
        <v>215</v>
      </c>
    </row>
    <row r="7" spans="1:32" ht="36" customHeight="1" x14ac:dyDescent="0.25">
      <c r="A7" s="14" t="s">
        <v>4101</v>
      </c>
      <c r="B7" s="13" t="s">
        <v>215</v>
      </c>
      <c r="C7" s="13"/>
      <c r="D7" s="13" t="s">
        <v>3979</v>
      </c>
      <c r="E7" s="13"/>
      <c r="F7" s="13"/>
      <c r="G7" s="13" t="s">
        <v>3980</v>
      </c>
      <c r="H7" s="13" t="s">
        <v>3981</v>
      </c>
      <c r="I7" s="13" t="s">
        <v>3982</v>
      </c>
      <c r="J7" s="13"/>
      <c r="K7" s="13" t="s">
        <v>3983</v>
      </c>
      <c r="L7" s="13" t="s">
        <v>215</v>
      </c>
      <c r="M7" s="13" t="s">
        <v>215</v>
      </c>
      <c r="N7" s="13"/>
      <c r="O7" s="13"/>
      <c r="P7" s="13"/>
      <c r="Q7" s="13" t="s">
        <v>3984</v>
      </c>
      <c r="R7" s="13"/>
      <c r="S7" s="13" t="s">
        <v>1266</v>
      </c>
      <c r="T7" s="13"/>
      <c r="U7" s="13"/>
      <c r="V7" s="13" t="s">
        <v>1331</v>
      </c>
      <c r="W7" s="13" t="s">
        <v>3985</v>
      </c>
      <c r="X7" s="13" t="s">
        <v>3986</v>
      </c>
      <c r="Y7" s="13" t="s">
        <v>225</v>
      </c>
      <c r="Z7" s="13" t="s">
        <v>3987</v>
      </c>
      <c r="AA7" s="17" t="s">
        <v>4102</v>
      </c>
      <c r="AB7" s="13" t="s">
        <v>3989</v>
      </c>
      <c r="AC7" s="13"/>
      <c r="AD7" s="13" t="s">
        <v>3990</v>
      </c>
      <c r="AE7" s="13"/>
      <c r="AF7" t="s">
        <v>215</v>
      </c>
    </row>
    <row r="8" spans="1:32" ht="36" customHeight="1" x14ac:dyDescent="0.25">
      <c r="A8" s="14" t="s">
        <v>4103</v>
      </c>
      <c r="B8" s="13" t="s">
        <v>3992</v>
      </c>
      <c r="C8" s="13"/>
      <c r="D8" s="13" t="s">
        <v>3993</v>
      </c>
      <c r="E8" s="13" t="s">
        <v>3994</v>
      </c>
      <c r="F8" s="13" t="s">
        <v>3995</v>
      </c>
      <c r="G8" s="13" t="s">
        <v>3996</v>
      </c>
      <c r="H8" s="13" t="s">
        <v>3997</v>
      </c>
      <c r="I8" s="13" t="s">
        <v>3998</v>
      </c>
      <c r="J8" s="13"/>
      <c r="K8" s="13" t="s">
        <v>3999</v>
      </c>
      <c r="L8" s="13" t="s">
        <v>215</v>
      </c>
      <c r="M8" s="13" t="s">
        <v>215</v>
      </c>
      <c r="N8" s="13"/>
      <c r="O8" s="13"/>
      <c r="P8" s="13"/>
      <c r="Q8" s="13" t="s">
        <v>4000</v>
      </c>
      <c r="R8" s="13" t="s">
        <v>4001</v>
      </c>
      <c r="S8" s="13" t="s">
        <v>1266</v>
      </c>
      <c r="T8" s="13"/>
      <c r="U8" s="13"/>
      <c r="V8" s="13" t="s">
        <v>4002</v>
      </c>
      <c r="W8" s="13" t="s">
        <v>4003</v>
      </c>
      <c r="X8" s="13" t="s">
        <v>2130</v>
      </c>
      <c r="Y8" s="13" t="s">
        <v>225</v>
      </c>
      <c r="Z8" s="13" t="s">
        <v>4004</v>
      </c>
      <c r="AA8" s="17"/>
      <c r="AB8" s="13" t="s">
        <v>4005</v>
      </c>
      <c r="AC8" s="13"/>
      <c r="AD8" s="13" t="s">
        <v>4006</v>
      </c>
      <c r="AE8" s="13"/>
      <c r="AF8" t="s">
        <v>4007</v>
      </c>
    </row>
    <row r="9" spans="1:32" ht="36" customHeight="1" x14ac:dyDescent="0.25">
      <c r="A9" s="14" t="s">
        <v>4083</v>
      </c>
      <c r="B9" s="13" t="s">
        <v>215</v>
      </c>
      <c r="C9" s="13" t="s">
        <v>215</v>
      </c>
      <c r="D9" s="13" t="s">
        <v>215</v>
      </c>
      <c r="E9" s="13" t="s">
        <v>215</v>
      </c>
      <c r="F9" s="13" t="s">
        <v>215</v>
      </c>
      <c r="G9" s="13" t="s">
        <v>215</v>
      </c>
      <c r="H9" s="13" t="s">
        <v>215</v>
      </c>
      <c r="I9" s="13"/>
      <c r="J9" s="13"/>
      <c r="K9" s="13" t="s">
        <v>215</v>
      </c>
      <c r="L9" s="13" t="s">
        <v>215</v>
      </c>
      <c r="M9" s="13" t="s">
        <v>215</v>
      </c>
      <c r="N9" s="13"/>
      <c r="O9" s="13" t="s">
        <v>215</v>
      </c>
      <c r="P9" s="13"/>
      <c r="Q9" s="13" t="s">
        <v>215</v>
      </c>
      <c r="R9" s="13"/>
      <c r="S9" s="13" t="s">
        <v>215</v>
      </c>
      <c r="T9" s="13"/>
      <c r="U9" s="13"/>
      <c r="V9" s="13" t="s">
        <v>215</v>
      </c>
      <c r="W9" s="13"/>
      <c r="X9" s="13"/>
      <c r="Y9" s="13" t="s">
        <v>215</v>
      </c>
      <c r="Z9" s="13"/>
      <c r="AA9" s="17" t="s">
        <v>225</v>
      </c>
      <c r="AB9" s="13"/>
      <c r="AC9" s="13"/>
      <c r="AD9" s="13" t="s">
        <v>215</v>
      </c>
      <c r="AE9" s="13" t="s">
        <v>215</v>
      </c>
      <c r="AF9" t="s">
        <v>4084</v>
      </c>
    </row>
    <row r="10" spans="1:32" ht="23.1" customHeight="1" x14ac:dyDescent="0.25">
      <c r="A10" s="15" t="s">
        <v>4104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5"/>
      <c r="AC10" s="15"/>
      <c r="AD10" s="15"/>
      <c r="AE10" s="15"/>
    </row>
    <row r="11" spans="1:32" ht="36" customHeight="1" x14ac:dyDescent="0.25">
      <c r="A11" s="14" t="s">
        <v>4105</v>
      </c>
      <c r="B11" s="13" t="s">
        <v>215</v>
      </c>
      <c r="C11" s="13" t="s">
        <v>215</v>
      </c>
      <c r="D11" s="13"/>
      <c r="E11" s="13"/>
      <c r="F11" s="13" t="s">
        <v>215</v>
      </c>
      <c r="G11" s="13" t="s">
        <v>215</v>
      </c>
      <c r="H11" s="13"/>
      <c r="I11" s="13"/>
      <c r="J11" s="13"/>
      <c r="K11" s="13"/>
      <c r="L11" s="13" t="s">
        <v>215</v>
      </c>
      <c r="M11" s="13"/>
      <c r="N11" s="13"/>
      <c r="O11" s="13" t="s">
        <v>215</v>
      </c>
      <c r="P11" s="13"/>
      <c r="Q11" s="13" t="s">
        <v>215</v>
      </c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225</v>
      </c>
      <c r="AB11" s="13"/>
      <c r="AC11" s="13"/>
      <c r="AD11" s="13"/>
      <c r="AE11" s="13"/>
      <c r="AF11" t="s">
        <v>4106</v>
      </c>
    </row>
    <row r="12" spans="1:32" ht="36" customHeight="1" x14ac:dyDescent="0.25">
      <c r="A12" s="14" t="s">
        <v>4107</v>
      </c>
      <c r="B12" s="13"/>
      <c r="C12" s="13"/>
      <c r="D12" s="13"/>
      <c r="E12" s="13"/>
      <c r="F12" s="13"/>
      <c r="G12" s="13" t="s">
        <v>215</v>
      </c>
      <c r="H12" s="13"/>
      <c r="I12" s="13"/>
      <c r="J12" s="13"/>
      <c r="K12" s="13" t="s">
        <v>215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225</v>
      </c>
      <c r="AB12" s="13"/>
      <c r="AC12" s="13"/>
      <c r="AD12" s="13"/>
      <c r="AE12" s="13"/>
      <c r="AF12" t="s">
        <v>4108</v>
      </c>
    </row>
    <row r="13" spans="1:32" ht="36" customHeight="1" x14ac:dyDescent="0.25">
      <c r="A13" s="14" t="s">
        <v>4109</v>
      </c>
      <c r="B13" s="13"/>
      <c r="C13" s="13"/>
      <c r="D13" s="13"/>
      <c r="E13" s="13"/>
      <c r="F13" s="13"/>
      <c r="G13" s="13" t="s">
        <v>215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7" t="s">
        <v>225</v>
      </c>
      <c r="AB13" s="13"/>
      <c r="AC13" s="13"/>
      <c r="AD13" s="13"/>
      <c r="AE13" s="13"/>
      <c r="AF13" t="s">
        <v>4110</v>
      </c>
    </row>
    <row r="14" spans="1:32" ht="36" customHeight="1" x14ac:dyDescent="0.25">
      <c r="A14" s="14" t="s">
        <v>4111</v>
      </c>
      <c r="B14" s="13"/>
      <c r="C14" s="13"/>
      <c r="D14" s="13"/>
      <c r="E14" s="13"/>
      <c r="F14" s="13"/>
      <c r="G14" s="13" t="s">
        <v>215</v>
      </c>
      <c r="H14" s="13"/>
      <c r="I14" s="13"/>
      <c r="J14" s="13"/>
      <c r="K14" s="13"/>
      <c r="L14" s="13" t="s">
        <v>215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225</v>
      </c>
      <c r="AB14" s="13"/>
      <c r="AC14" s="13"/>
      <c r="AD14" s="13"/>
      <c r="AE14" s="13"/>
      <c r="AF14" t="s">
        <v>4112</v>
      </c>
    </row>
    <row r="15" spans="1:32" ht="36" customHeight="1" x14ac:dyDescent="0.25">
      <c r="A15" s="14" t="s">
        <v>4113</v>
      </c>
      <c r="B15" s="13" t="s">
        <v>4009</v>
      </c>
      <c r="C15" s="13" t="s">
        <v>4010</v>
      </c>
      <c r="D15" s="13" t="s">
        <v>4011</v>
      </c>
      <c r="E15" s="13"/>
      <c r="F15" s="13" t="s">
        <v>4012</v>
      </c>
      <c r="G15" s="13" t="s">
        <v>4013</v>
      </c>
      <c r="H15" s="13" t="s">
        <v>4014</v>
      </c>
      <c r="I15" s="13" t="s">
        <v>4015</v>
      </c>
      <c r="J15" s="13"/>
      <c r="K15" s="13" t="s">
        <v>4016</v>
      </c>
      <c r="L15" s="13" t="s">
        <v>4017</v>
      </c>
      <c r="M15" s="13" t="s">
        <v>4018</v>
      </c>
      <c r="N15" s="13"/>
      <c r="O15" s="13" t="s">
        <v>4019</v>
      </c>
      <c r="P15" s="13"/>
      <c r="Q15" s="13" t="s">
        <v>4020</v>
      </c>
      <c r="R15" s="13"/>
      <c r="S15" s="13" t="s">
        <v>4021</v>
      </c>
      <c r="T15" s="13"/>
      <c r="U15" s="13"/>
      <c r="V15" s="13" t="s">
        <v>4022</v>
      </c>
      <c r="W15" s="13" t="s">
        <v>4023</v>
      </c>
      <c r="X15" s="13" t="s">
        <v>4024</v>
      </c>
      <c r="Y15" s="13" t="s">
        <v>562</v>
      </c>
      <c r="Z15" s="13" t="s">
        <v>4025</v>
      </c>
      <c r="AA15" s="17" t="s">
        <v>225</v>
      </c>
      <c r="AB15" s="13"/>
      <c r="AC15" s="13"/>
      <c r="AD15" s="13" t="s">
        <v>4026</v>
      </c>
      <c r="AE15" s="13"/>
      <c r="AF15" t="s">
        <v>4114</v>
      </c>
    </row>
    <row r="16" spans="1:32" ht="23.1" customHeight="1" x14ac:dyDescent="0.25">
      <c r="A16" s="15" t="s">
        <v>4115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5"/>
      <c r="AC16" s="15"/>
      <c r="AD16" s="15"/>
      <c r="AE16" s="15"/>
    </row>
    <row r="17" spans="1:32" ht="36" customHeight="1" x14ac:dyDescent="0.25">
      <c r="A17" s="14" t="s">
        <v>4116</v>
      </c>
      <c r="B17" s="13" t="s">
        <v>4029</v>
      </c>
      <c r="C17" s="13"/>
      <c r="D17" s="13" t="s">
        <v>4030</v>
      </c>
      <c r="E17" s="13"/>
      <c r="F17" s="13" t="s">
        <v>4031</v>
      </c>
      <c r="G17" s="13" t="s">
        <v>4032</v>
      </c>
      <c r="H17" s="13" t="s">
        <v>4033</v>
      </c>
      <c r="I17" s="13" t="s">
        <v>228</v>
      </c>
      <c r="J17" s="13"/>
      <c r="K17" s="13" t="s">
        <v>4034</v>
      </c>
      <c r="L17" s="13" t="s">
        <v>4035</v>
      </c>
      <c r="M17" s="13" t="s">
        <v>4036</v>
      </c>
      <c r="N17" s="13"/>
      <c r="O17" s="13" t="s">
        <v>4037</v>
      </c>
      <c r="P17" s="13"/>
      <c r="Q17" s="13" t="s">
        <v>4038</v>
      </c>
      <c r="R17" s="13"/>
      <c r="S17" s="13" t="s">
        <v>4039</v>
      </c>
      <c r="T17" s="13"/>
      <c r="U17" s="13"/>
      <c r="V17" s="13" t="s">
        <v>4040</v>
      </c>
      <c r="W17" s="13"/>
      <c r="X17" s="13" t="s">
        <v>4041</v>
      </c>
      <c r="Y17" s="13" t="s">
        <v>4042</v>
      </c>
      <c r="Z17" s="13" t="s">
        <v>2678</v>
      </c>
      <c r="AA17" s="17" t="s">
        <v>5862</v>
      </c>
      <c r="AB17" s="13"/>
      <c r="AC17" s="13"/>
      <c r="AD17" s="13" t="s">
        <v>4043</v>
      </c>
      <c r="AE17" s="13" t="s">
        <v>4044</v>
      </c>
      <c r="AF17" t="s">
        <v>215</v>
      </c>
    </row>
    <row r="18" spans="1:32" ht="36" customHeight="1" x14ac:dyDescent="0.25">
      <c r="A18" s="14" t="s">
        <v>4117</v>
      </c>
      <c r="B18" s="13" t="s">
        <v>4029</v>
      </c>
      <c r="C18" s="13"/>
      <c r="D18" s="13" t="s">
        <v>4030</v>
      </c>
      <c r="E18" s="13"/>
      <c r="F18" s="13" t="s">
        <v>4031</v>
      </c>
      <c r="G18" s="13" t="s">
        <v>4032</v>
      </c>
      <c r="H18" s="13" t="s">
        <v>4033</v>
      </c>
      <c r="I18" s="13" t="s">
        <v>228</v>
      </c>
      <c r="J18" s="13"/>
      <c r="K18" s="13" t="s">
        <v>4034</v>
      </c>
      <c r="L18" s="13" t="s">
        <v>4035</v>
      </c>
      <c r="M18" s="13" t="s">
        <v>4036</v>
      </c>
      <c r="N18" s="13"/>
      <c r="O18" s="13" t="s">
        <v>4037</v>
      </c>
      <c r="P18" s="13"/>
      <c r="Q18" s="13" t="s">
        <v>4038</v>
      </c>
      <c r="R18" s="13"/>
      <c r="S18" s="13" t="s">
        <v>4039</v>
      </c>
      <c r="T18" s="13"/>
      <c r="U18" s="13"/>
      <c r="V18" s="13" t="s">
        <v>4040</v>
      </c>
      <c r="W18" s="13"/>
      <c r="X18" s="13" t="s">
        <v>4041</v>
      </c>
      <c r="Y18" s="13" t="s">
        <v>4042</v>
      </c>
      <c r="Z18" s="13" t="s">
        <v>2678</v>
      </c>
      <c r="AA18" s="17" t="s">
        <v>215</v>
      </c>
      <c r="AB18" s="13"/>
      <c r="AC18" s="13"/>
      <c r="AD18" s="13" t="s">
        <v>4043</v>
      </c>
      <c r="AE18" s="13" t="s">
        <v>4044</v>
      </c>
      <c r="AF18" t="s">
        <v>215</v>
      </c>
    </row>
    <row r="19" spans="1:32" ht="36" customHeight="1" x14ac:dyDescent="0.25">
      <c r="A19" s="14" t="s">
        <v>4118</v>
      </c>
      <c r="B19" s="13" t="s">
        <v>4029</v>
      </c>
      <c r="C19" s="13"/>
      <c r="D19" s="13" t="s">
        <v>4030</v>
      </c>
      <c r="E19" s="13"/>
      <c r="F19" s="13" t="s">
        <v>4031</v>
      </c>
      <c r="G19" s="13" t="s">
        <v>4032</v>
      </c>
      <c r="H19" s="13" t="s">
        <v>4033</v>
      </c>
      <c r="I19" s="13" t="s">
        <v>228</v>
      </c>
      <c r="J19" s="13"/>
      <c r="K19" s="13" t="s">
        <v>4034</v>
      </c>
      <c r="L19" s="13" t="s">
        <v>4035</v>
      </c>
      <c r="M19" s="13" t="s">
        <v>4036</v>
      </c>
      <c r="N19" s="13"/>
      <c r="O19" s="13" t="s">
        <v>4037</v>
      </c>
      <c r="P19" s="13"/>
      <c r="Q19" s="13" t="s">
        <v>4038</v>
      </c>
      <c r="R19" s="13"/>
      <c r="S19" s="13" t="s">
        <v>4039</v>
      </c>
      <c r="T19" s="13"/>
      <c r="U19" s="13"/>
      <c r="V19" s="13" t="s">
        <v>4040</v>
      </c>
      <c r="W19" s="13"/>
      <c r="X19" s="13" t="s">
        <v>4041</v>
      </c>
      <c r="Y19" s="13" t="s">
        <v>4042</v>
      </c>
      <c r="Z19" s="13" t="s">
        <v>2678</v>
      </c>
      <c r="AA19" s="17" t="s">
        <v>215</v>
      </c>
      <c r="AB19" s="13"/>
      <c r="AC19" s="13"/>
      <c r="AD19" s="13" t="s">
        <v>4043</v>
      </c>
      <c r="AE19" s="13" t="s">
        <v>4044</v>
      </c>
      <c r="AF19" t="s">
        <v>215</v>
      </c>
    </row>
    <row r="20" spans="1:32" ht="36" customHeight="1" x14ac:dyDescent="0.25">
      <c r="A20" s="14" t="s">
        <v>4088</v>
      </c>
      <c r="B20" s="13" t="s">
        <v>215</v>
      </c>
      <c r="C20" s="13"/>
      <c r="D20" s="13"/>
      <c r="E20" s="13"/>
      <c r="F20" s="13" t="s">
        <v>215</v>
      </c>
      <c r="G20" s="13"/>
      <c r="H20" s="13"/>
      <c r="I20" s="13"/>
      <c r="J20" s="13"/>
      <c r="K20" s="13"/>
      <c r="L20" s="13" t="s">
        <v>215</v>
      </c>
      <c r="M20" s="13" t="s">
        <v>215</v>
      </c>
      <c r="N20" s="13"/>
      <c r="O20" s="13"/>
      <c r="P20" s="13"/>
      <c r="Q20" s="13"/>
      <c r="R20" s="13"/>
      <c r="S20" s="13" t="s">
        <v>215</v>
      </c>
      <c r="T20" s="13"/>
      <c r="U20" s="13"/>
      <c r="V20" s="13"/>
      <c r="W20" s="13"/>
      <c r="X20" s="13"/>
      <c r="Y20" s="13"/>
      <c r="Z20" s="13"/>
      <c r="AA20" s="17" t="s">
        <v>4119</v>
      </c>
      <c r="AB20" s="13"/>
      <c r="AC20" s="13"/>
      <c r="AD20" s="13"/>
      <c r="AE20" s="13"/>
      <c r="AF20" t="s">
        <v>4089</v>
      </c>
    </row>
    <row r="21" spans="1:32" ht="23.1" customHeight="1" x14ac:dyDescent="0.25">
      <c r="A21" s="15" t="s">
        <v>4120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15"/>
      <c r="AC21" s="15"/>
      <c r="AD21" s="15"/>
      <c r="AE21" s="15"/>
    </row>
    <row r="22" spans="1:32" ht="36" customHeight="1" x14ac:dyDescent="0.25">
      <c r="A22" s="14" t="s">
        <v>4121</v>
      </c>
      <c r="B22" s="13"/>
      <c r="C22" s="13"/>
      <c r="D22" s="13"/>
      <c r="E22" s="13"/>
      <c r="F22" s="13"/>
      <c r="G22" s="13"/>
      <c r="H22" s="13"/>
      <c r="I22" s="13" t="s">
        <v>215</v>
      </c>
      <c r="J22" s="13" t="s">
        <v>215</v>
      </c>
      <c r="K22" s="13"/>
      <c r="L22" s="13" t="s">
        <v>215</v>
      </c>
      <c r="M22" s="13" t="s">
        <v>215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 t="s">
        <v>215</v>
      </c>
      <c r="AA22" s="17"/>
      <c r="AB22" s="13"/>
      <c r="AC22" s="13"/>
      <c r="AD22" s="13"/>
      <c r="AE22" s="13"/>
      <c r="AF22" t="s">
        <v>4122</v>
      </c>
    </row>
    <row r="23" spans="1:32" ht="36" customHeight="1" x14ac:dyDescent="0.25">
      <c r="A23" s="14" t="s">
        <v>4123</v>
      </c>
      <c r="B23" s="13" t="s">
        <v>4047</v>
      </c>
      <c r="C23" s="13" t="s">
        <v>4048</v>
      </c>
      <c r="D23" s="13" t="s">
        <v>225</v>
      </c>
      <c r="E23" s="13" t="s">
        <v>4049</v>
      </c>
      <c r="F23" s="13" t="s">
        <v>4050</v>
      </c>
      <c r="G23" s="13" t="s">
        <v>4051</v>
      </c>
      <c r="H23" s="13" t="s">
        <v>4052</v>
      </c>
      <c r="I23" s="13" t="s">
        <v>4053</v>
      </c>
      <c r="J23" s="13" t="s">
        <v>4054</v>
      </c>
      <c r="K23" s="13" t="s">
        <v>4055</v>
      </c>
      <c r="L23" s="13" t="s">
        <v>4056</v>
      </c>
      <c r="M23" s="13" t="s">
        <v>4057</v>
      </c>
      <c r="N23" s="13" t="s">
        <v>4058</v>
      </c>
      <c r="O23" s="13" t="s">
        <v>4059</v>
      </c>
      <c r="P23" s="13"/>
      <c r="Q23" s="13" t="s">
        <v>4058</v>
      </c>
      <c r="R23" s="13" t="s">
        <v>225</v>
      </c>
      <c r="S23" s="13"/>
      <c r="T23" s="13"/>
      <c r="U23" s="13"/>
      <c r="V23" s="13" t="s">
        <v>4060</v>
      </c>
      <c r="W23" s="13" t="s">
        <v>4061</v>
      </c>
      <c r="X23" s="13" t="s">
        <v>4062</v>
      </c>
      <c r="Y23" s="13" t="s">
        <v>4063</v>
      </c>
      <c r="Z23" s="13" t="s">
        <v>2678</v>
      </c>
      <c r="AA23" s="17"/>
      <c r="AB23" s="13" t="s">
        <v>562</v>
      </c>
      <c r="AC23" s="13"/>
      <c r="AD23" s="13" t="s">
        <v>4064</v>
      </c>
      <c r="AE23" s="13" t="s">
        <v>225</v>
      </c>
      <c r="AF23" t="s">
        <v>4065</v>
      </c>
    </row>
    <row r="24" spans="1:32" ht="36" customHeight="1" x14ac:dyDescent="0.25">
      <c r="A24" s="14" t="s">
        <v>4085</v>
      </c>
      <c r="B24" s="13" t="s">
        <v>215</v>
      </c>
      <c r="C24" s="13"/>
      <c r="D24" s="13"/>
      <c r="E24" s="13"/>
      <c r="F24" s="13"/>
      <c r="G24" s="13"/>
      <c r="H24" s="13"/>
      <c r="I24" s="13"/>
      <c r="J24" s="13"/>
      <c r="K24" s="13"/>
      <c r="L24" s="13" t="s">
        <v>215</v>
      </c>
      <c r="M24" s="13" t="s">
        <v>215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/>
      <c r="AB24" s="13"/>
      <c r="AC24" s="13"/>
      <c r="AD24" s="13" t="s">
        <v>215</v>
      </c>
      <c r="AE24" s="13"/>
      <c r="AF24" t="s">
        <v>4086</v>
      </c>
    </row>
    <row r="25" spans="1:32" ht="36" customHeight="1" x14ac:dyDescent="0.25">
      <c r="A25" s="14" t="s">
        <v>4087</v>
      </c>
      <c r="B25" s="13" t="s">
        <v>4067</v>
      </c>
      <c r="C25" s="13"/>
      <c r="D25" s="13" t="s">
        <v>4068</v>
      </c>
      <c r="E25" s="13"/>
      <c r="F25" s="13"/>
      <c r="G25" s="13" t="s">
        <v>4069</v>
      </c>
      <c r="H25" s="13" t="s">
        <v>4070</v>
      </c>
      <c r="I25" s="13" t="s">
        <v>4071</v>
      </c>
      <c r="J25" s="13"/>
      <c r="K25" s="13" t="s">
        <v>4072</v>
      </c>
      <c r="L25" s="13" t="s">
        <v>4073</v>
      </c>
      <c r="M25" s="13" t="s">
        <v>4074</v>
      </c>
      <c r="N25" s="13"/>
      <c r="O25" s="13" t="s">
        <v>4075</v>
      </c>
      <c r="P25" s="13"/>
      <c r="Q25" s="13"/>
      <c r="R25" s="13"/>
      <c r="S25" s="13" t="s">
        <v>4076</v>
      </c>
      <c r="T25" s="13"/>
      <c r="U25" s="13"/>
      <c r="V25" s="13" t="s">
        <v>4077</v>
      </c>
      <c r="W25" s="13" t="s">
        <v>4078</v>
      </c>
      <c r="X25" s="13" t="s">
        <v>562</v>
      </c>
      <c r="Y25" s="13" t="s">
        <v>4079</v>
      </c>
      <c r="Z25" s="13" t="s">
        <v>1039</v>
      </c>
      <c r="AA25" s="17"/>
      <c r="AB25" s="13"/>
      <c r="AC25" s="13"/>
      <c r="AD25" s="13" t="s">
        <v>4080</v>
      </c>
      <c r="AE25" s="13"/>
      <c r="AF25" t="s">
        <v>215</v>
      </c>
    </row>
    <row r="26" spans="1:32" ht="36" customHeight="1" x14ac:dyDescent="0.25">
      <c r="A26" s="14" t="s">
        <v>4124</v>
      </c>
      <c r="B26" s="13" t="s">
        <v>4067</v>
      </c>
      <c r="C26" s="13"/>
      <c r="D26" s="13" t="s">
        <v>4068</v>
      </c>
      <c r="E26" s="13"/>
      <c r="F26" s="13"/>
      <c r="G26" s="13" t="s">
        <v>4069</v>
      </c>
      <c r="H26" s="13" t="s">
        <v>4070</v>
      </c>
      <c r="I26" s="13" t="s">
        <v>4071</v>
      </c>
      <c r="J26" s="13"/>
      <c r="K26" s="13" t="s">
        <v>4072</v>
      </c>
      <c r="L26" s="13" t="s">
        <v>4073</v>
      </c>
      <c r="M26" s="13" t="s">
        <v>4074</v>
      </c>
      <c r="N26" s="13"/>
      <c r="O26" s="13" t="s">
        <v>4075</v>
      </c>
      <c r="P26" s="13"/>
      <c r="Q26" s="13"/>
      <c r="R26" s="13"/>
      <c r="S26" s="13" t="s">
        <v>4076</v>
      </c>
      <c r="T26" s="13"/>
      <c r="U26" s="13"/>
      <c r="V26" s="13" t="s">
        <v>4077</v>
      </c>
      <c r="W26" s="13" t="s">
        <v>4078</v>
      </c>
      <c r="X26" s="13" t="s">
        <v>562</v>
      </c>
      <c r="Y26" s="13" t="s">
        <v>4079</v>
      </c>
      <c r="Z26" s="13" t="s">
        <v>1039</v>
      </c>
      <c r="AA26" s="17"/>
      <c r="AB26" s="13"/>
      <c r="AC26" s="13"/>
      <c r="AD26" s="13" t="s">
        <v>4080</v>
      </c>
      <c r="AE26" s="13"/>
      <c r="AF26" t="s">
        <v>4081</v>
      </c>
    </row>
    <row r="27" spans="1:32" ht="36" customHeight="1" x14ac:dyDescent="0.25">
      <c r="A27" s="14" t="s">
        <v>4125</v>
      </c>
      <c r="B27" s="13"/>
      <c r="C27" s="13"/>
      <c r="D27" s="13"/>
      <c r="E27" s="13"/>
      <c r="F27" s="13" t="s">
        <v>4126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7"/>
      <c r="AB27" s="13"/>
      <c r="AC27" s="13"/>
      <c r="AD27" s="13"/>
      <c r="AE27" s="13"/>
      <c r="AF27" t="s">
        <v>4127</v>
      </c>
    </row>
    <row r="28" spans="1:32" ht="36" customHeight="1" x14ac:dyDescent="0.25">
      <c r="A28" s="14" t="s">
        <v>4128</v>
      </c>
      <c r="B28" s="13" t="s">
        <v>4129</v>
      </c>
      <c r="C28" s="13"/>
      <c r="D28" s="13"/>
      <c r="E28" s="13"/>
      <c r="F28" s="13" t="s">
        <v>4129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/>
      <c r="AB28" s="13"/>
      <c r="AC28" s="13"/>
      <c r="AD28" s="13"/>
      <c r="AE28" s="13"/>
      <c r="AF28" t="s">
        <v>4130</v>
      </c>
    </row>
    <row r="29" spans="1:32" ht="23.1" customHeight="1" x14ac:dyDescent="0.25">
      <c r="A29" s="15" t="s">
        <v>1623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</row>
    <row r="30" spans="1:32" ht="36" customHeight="1" x14ac:dyDescent="0.25">
      <c r="A30" s="14" t="s">
        <v>4131</v>
      </c>
      <c r="B30" s="13" t="s">
        <v>4132</v>
      </c>
      <c r="C30" s="13"/>
      <c r="D30" s="13" t="s">
        <v>4133</v>
      </c>
      <c r="E30" s="13"/>
      <c r="F30" s="13" t="s">
        <v>4134</v>
      </c>
      <c r="G30" s="13" t="s">
        <v>4135</v>
      </c>
      <c r="H30" s="13" t="s">
        <v>4136</v>
      </c>
      <c r="I30" s="13" t="s">
        <v>4137</v>
      </c>
      <c r="J30" s="13"/>
      <c r="K30" s="13" t="s">
        <v>4138</v>
      </c>
      <c r="L30" s="13" t="s">
        <v>4139</v>
      </c>
      <c r="M30" s="13" t="s">
        <v>4140</v>
      </c>
      <c r="N30" s="13"/>
      <c r="O30" s="13"/>
      <c r="P30" s="13"/>
      <c r="Q30" s="13" t="s">
        <v>4141</v>
      </c>
      <c r="R30" s="13"/>
      <c r="S30" s="13" t="s">
        <v>4142</v>
      </c>
      <c r="T30" s="13"/>
      <c r="U30" s="13"/>
      <c r="V30" s="13" t="s">
        <v>4143</v>
      </c>
      <c r="W30" s="13"/>
      <c r="X30" s="13" t="s">
        <v>4144</v>
      </c>
      <c r="Y30" s="13" t="s">
        <v>4145</v>
      </c>
      <c r="Z30" s="13" t="s">
        <v>4146</v>
      </c>
      <c r="AA30" s="17"/>
      <c r="AB30" s="13"/>
      <c r="AC30" s="13"/>
      <c r="AD30" s="13" t="s">
        <v>4147</v>
      </c>
      <c r="AE30" s="13"/>
      <c r="AF30" t="s">
        <v>4148</v>
      </c>
    </row>
    <row r="31" spans="1:32" ht="23.1" customHeight="1" x14ac:dyDescent="0.25">
      <c r="A31" s="15" t="s">
        <v>4149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15"/>
      <c r="AC31" s="15"/>
      <c r="AD31" s="15"/>
      <c r="AE31" s="15"/>
    </row>
    <row r="32" spans="1:32" ht="36" customHeight="1" x14ac:dyDescent="0.25">
      <c r="A32" s="14" t="s">
        <v>4150</v>
      </c>
      <c r="B32" s="13" t="s">
        <v>4151</v>
      </c>
      <c r="C32" s="13"/>
      <c r="D32" s="13"/>
      <c r="E32" s="13"/>
      <c r="F32" s="13"/>
      <c r="G32" s="13"/>
      <c r="H32" s="13"/>
      <c r="I32" s="13"/>
      <c r="J32" s="13"/>
      <c r="K32" s="13" t="s">
        <v>4091</v>
      </c>
      <c r="L32" s="13" t="s">
        <v>1413</v>
      </c>
      <c r="M32" s="13" t="s">
        <v>1414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7"/>
      <c r="AB32" s="13"/>
      <c r="AC32" s="13"/>
      <c r="AD32" s="13"/>
      <c r="AE32" s="13"/>
      <c r="AF32" t="s">
        <v>4092</v>
      </c>
    </row>
    <row r="33" spans="1:32" ht="36" customHeight="1" x14ac:dyDescent="0.25">
      <c r="A33" s="14" t="s">
        <v>4152</v>
      </c>
      <c r="B33" s="13" t="s">
        <v>4153</v>
      </c>
      <c r="C33" s="13"/>
      <c r="D33" s="13"/>
      <c r="E33" s="13"/>
      <c r="F33" s="13"/>
      <c r="G33" s="13" t="s">
        <v>1419</v>
      </c>
      <c r="H33" s="13"/>
      <c r="I33" s="13"/>
      <c r="J33" s="13"/>
      <c r="K33" s="13"/>
      <c r="L33" s="13" t="s">
        <v>4154</v>
      </c>
      <c r="M33" s="13" t="s">
        <v>4155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7" t="s">
        <v>4156</v>
      </c>
      <c r="AB33" s="13"/>
      <c r="AC33" s="13"/>
      <c r="AD33" s="13"/>
      <c r="AE33" s="13"/>
      <c r="AF33" t="s">
        <v>4157</v>
      </c>
    </row>
    <row r="34" spans="1:32" ht="36" customHeight="1" x14ac:dyDescent="0.25">
      <c r="A34" s="14" t="s">
        <v>4158</v>
      </c>
      <c r="B34" s="13" t="s">
        <v>4159</v>
      </c>
      <c r="C34" s="13"/>
      <c r="D34" s="13"/>
      <c r="E34" s="13"/>
      <c r="F34" s="13"/>
      <c r="G34" s="13" t="s">
        <v>1427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7" t="s">
        <v>4160</v>
      </c>
      <c r="AB34" s="13"/>
      <c r="AC34" s="13"/>
      <c r="AD34" s="13"/>
      <c r="AE34" s="13"/>
      <c r="AF34" t="s">
        <v>4161</v>
      </c>
    </row>
    <row r="35" spans="1:32" ht="36" customHeight="1" x14ac:dyDescent="0.25">
      <c r="A35" s="14" t="s">
        <v>4162</v>
      </c>
      <c r="B35" s="13" t="s">
        <v>4163</v>
      </c>
      <c r="C35" s="13"/>
      <c r="D35" s="13"/>
      <c r="E35" s="13"/>
      <c r="F35" s="13"/>
      <c r="G35" s="13"/>
      <c r="H35" s="13"/>
      <c r="I35" s="13"/>
      <c r="J35" s="13"/>
      <c r="K35" s="13"/>
      <c r="L35" s="13" t="s">
        <v>4164</v>
      </c>
      <c r="M35" s="13" t="s">
        <v>4165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/>
      <c r="AB35" s="13"/>
      <c r="AC35" s="13"/>
      <c r="AD35" s="13"/>
      <c r="AE35" s="13"/>
      <c r="AF35" t="s">
        <v>4166</v>
      </c>
    </row>
    <row r="36" spans="1:32" ht="36" customHeight="1" x14ac:dyDescent="0.25">
      <c r="A36" s="14" t="s">
        <v>4167</v>
      </c>
      <c r="B36" s="13" t="s">
        <v>4168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 t="s">
        <v>4169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/>
      <c r="AB36" s="13"/>
      <c r="AC36" s="13"/>
      <c r="AD36" s="13"/>
      <c r="AE36" s="13"/>
      <c r="AF36" t="s">
        <v>4170</v>
      </c>
    </row>
  </sheetData>
  <mergeCells count="1">
    <mergeCell ref="A1:A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15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6" sqref="AA16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Directory'!A1","AI Policy &amp; Transparency"),"AI Policy &amp; Transparency")</f>
        <v>AI Policy &amp; Transparency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4171</v>
      </c>
      <c r="B3" s="13" t="s">
        <v>4172</v>
      </c>
      <c r="C3" s="13" t="s">
        <v>271</v>
      </c>
      <c r="D3" s="13" t="s">
        <v>271</v>
      </c>
      <c r="E3" s="13" t="s">
        <v>4173</v>
      </c>
      <c r="F3" s="13" t="s">
        <v>4174</v>
      </c>
      <c r="G3" s="13" t="s">
        <v>4175</v>
      </c>
      <c r="H3" s="13" t="s">
        <v>4176</v>
      </c>
      <c r="I3" s="13" t="s">
        <v>276</v>
      </c>
      <c r="J3" s="13" t="s">
        <v>277</v>
      </c>
      <c r="K3" s="13" t="s">
        <v>4177</v>
      </c>
      <c r="L3" s="13" t="s">
        <v>4178</v>
      </c>
      <c r="M3" s="13" t="s">
        <v>4179</v>
      </c>
      <c r="N3" s="13" t="s">
        <v>277</v>
      </c>
      <c r="O3" s="13" t="s">
        <v>4180</v>
      </c>
      <c r="P3" s="13" t="s">
        <v>277</v>
      </c>
      <c r="Q3" s="13" t="s">
        <v>4181</v>
      </c>
      <c r="R3" s="13" t="s">
        <v>4180</v>
      </c>
      <c r="S3" s="13" t="s">
        <v>4182</v>
      </c>
      <c r="T3" s="13" t="s">
        <v>277</v>
      </c>
      <c r="U3" s="13" t="s">
        <v>276</v>
      </c>
      <c r="V3" s="13" t="s">
        <v>276</v>
      </c>
      <c r="W3" s="13" t="s">
        <v>4180</v>
      </c>
      <c r="X3" s="13" t="s">
        <v>4180</v>
      </c>
      <c r="Y3" s="13" t="s">
        <v>4183</v>
      </c>
      <c r="Z3" s="13" t="s">
        <v>4180</v>
      </c>
      <c r="AA3" s="17" t="s">
        <v>4184</v>
      </c>
      <c r="AB3" s="13" t="s">
        <v>4180</v>
      </c>
      <c r="AC3" s="13" t="s">
        <v>4185</v>
      </c>
      <c r="AD3" s="13" t="s">
        <v>4180</v>
      </c>
      <c r="AE3" s="13" t="s">
        <v>4186</v>
      </c>
      <c r="AF3" t="s">
        <v>276</v>
      </c>
    </row>
    <row r="4" spans="1:32" ht="36" customHeight="1" x14ac:dyDescent="0.25">
      <c r="A4" s="14" t="s">
        <v>4187</v>
      </c>
      <c r="B4" s="13" t="s">
        <v>4188</v>
      </c>
      <c r="C4" s="13"/>
      <c r="D4" s="13"/>
      <c r="E4" s="13" t="s">
        <v>4189</v>
      </c>
      <c r="F4" s="13" t="s">
        <v>4190</v>
      </c>
      <c r="G4" s="13" t="s">
        <v>4191</v>
      </c>
      <c r="H4" s="13" t="s">
        <v>4192</v>
      </c>
      <c r="I4" s="13" t="s">
        <v>4193</v>
      </c>
      <c r="J4" s="13"/>
      <c r="K4" s="13" t="s">
        <v>4194</v>
      </c>
      <c r="L4" s="13" t="s">
        <v>4195</v>
      </c>
      <c r="M4" s="13"/>
      <c r="N4" s="13"/>
      <c r="O4" s="13"/>
      <c r="P4" s="13"/>
      <c r="Q4" s="13"/>
      <c r="R4" s="13"/>
      <c r="S4" s="13"/>
      <c r="T4" s="13" t="s">
        <v>4196</v>
      </c>
      <c r="U4" s="13" t="s">
        <v>4197</v>
      </c>
      <c r="V4" s="13" t="s">
        <v>299</v>
      </c>
      <c r="W4" s="13" t="s">
        <v>4198</v>
      </c>
      <c r="X4" s="13" t="s">
        <v>4199</v>
      </c>
      <c r="Y4" s="13" t="s">
        <v>4200</v>
      </c>
      <c r="Z4" s="13" t="s">
        <v>4201</v>
      </c>
      <c r="AA4" s="17" t="s">
        <v>4202</v>
      </c>
      <c r="AB4" s="13"/>
      <c r="AC4" s="13"/>
      <c r="AD4" s="13"/>
      <c r="AE4" s="13"/>
      <c r="AF4" t="s">
        <v>4203</v>
      </c>
    </row>
    <row r="5" spans="1:32" ht="36" customHeight="1" x14ac:dyDescent="0.25">
      <c r="A5" s="14" t="s">
        <v>4204</v>
      </c>
      <c r="B5" s="13" t="s">
        <v>4205</v>
      </c>
      <c r="C5" s="13"/>
      <c r="D5" s="13"/>
      <c r="E5" s="13" t="s">
        <v>4206</v>
      </c>
      <c r="F5" s="13" t="s">
        <v>4207</v>
      </c>
      <c r="G5" s="13" t="s">
        <v>4208</v>
      </c>
      <c r="H5" s="13" t="s">
        <v>4209</v>
      </c>
      <c r="I5" s="13" t="s">
        <v>228</v>
      </c>
      <c r="J5" s="13"/>
      <c r="K5" s="13"/>
      <c r="L5" s="13" t="s">
        <v>296</v>
      </c>
      <c r="M5" s="13" t="s">
        <v>296</v>
      </c>
      <c r="N5" s="13"/>
      <c r="O5" s="13"/>
      <c r="P5" s="13"/>
      <c r="Q5" s="13"/>
      <c r="R5" s="13"/>
      <c r="S5" s="13"/>
      <c r="T5" s="13"/>
      <c r="U5" s="13" t="s">
        <v>228</v>
      </c>
      <c r="V5" s="13" t="s">
        <v>276</v>
      </c>
      <c r="W5" s="13"/>
      <c r="X5" s="13" t="s">
        <v>228</v>
      </c>
      <c r="Y5" s="13" t="s">
        <v>228</v>
      </c>
      <c r="Z5" s="13" t="s">
        <v>228</v>
      </c>
      <c r="AA5" s="17" t="s">
        <v>276</v>
      </c>
      <c r="AB5" s="13"/>
      <c r="AC5" s="13"/>
      <c r="AD5" s="13"/>
      <c r="AE5" s="13"/>
      <c r="AF5" t="s">
        <v>4210</v>
      </c>
    </row>
    <row r="6" spans="1:32" ht="36" customHeight="1" x14ac:dyDescent="0.25">
      <c r="A6" s="14" t="s">
        <v>4211</v>
      </c>
      <c r="B6" s="13"/>
      <c r="C6" s="13"/>
      <c r="D6" s="13"/>
      <c r="E6" s="13"/>
      <c r="F6" s="13"/>
      <c r="G6" s="13"/>
      <c r="H6" s="13"/>
      <c r="I6" s="13" t="s">
        <v>228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 t="s">
        <v>4212</v>
      </c>
      <c r="W6" s="13"/>
      <c r="X6" s="13"/>
      <c r="Y6" s="13"/>
      <c r="Z6" s="13"/>
      <c r="AA6" s="17" t="s">
        <v>5863</v>
      </c>
      <c r="AB6" s="13"/>
      <c r="AC6" s="13"/>
      <c r="AD6" s="13"/>
      <c r="AE6" s="13"/>
      <c r="AF6" t="s">
        <v>4213</v>
      </c>
    </row>
    <row r="7" spans="1:32" ht="36" customHeight="1" x14ac:dyDescent="0.25">
      <c r="A7" s="14" t="s">
        <v>4214</v>
      </c>
      <c r="B7" s="13"/>
      <c r="C7" s="13"/>
      <c r="D7" s="13"/>
      <c r="E7" s="13" t="s">
        <v>4215</v>
      </c>
      <c r="F7" s="13"/>
      <c r="G7" s="13" t="s">
        <v>4208</v>
      </c>
      <c r="H7" s="13"/>
      <c r="I7" s="13" t="s">
        <v>228</v>
      </c>
      <c r="J7" s="13"/>
      <c r="K7" s="13"/>
      <c r="L7" s="13"/>
      <c r="M7" s="13"/>
      <c r="N7" s="13"/>
      <c r="O7" s="13"/>
      <c r="P7" s="13"/>
      <c r="Q7" s="13" t="s">
        <v>4216</v>
      </c>
      <c r="R7" s="13"/>
      <c r="S7" s="13" t="s">
        <v>4217</v>
      </c>
      <c r="T7" s="13"/>
      <c r="U7" s="13" t="s">
        <v>4218</v>
      </c>
      <c r="V7" s="13" t="s">
        <v>4219</v>
      </c>
      <c r="W7" s="13"/>
      <c r="X7" s="13"/>
      <c r="Y7" s="13" t="s">
        <v>4220</v>
      </c>
      <c r="Z7" s="13"/>
      <c r="AA7" s="17" t="s">
        <v>4221</v>
      </c>
      <c r="AB7" s="13"/>
      <c r="AC7" s="13"/>
      <c r="AD7" s="13"/>
      <c r="AE7" s="13" t="s">
        <v>4222</v>
      </c>
      <c r="AF7" t="s">
        <v>4223</v>
      </c>
    </row>
    <row r="8" spans="1:32" ht="23.1" customHeight="1" x14ac:dyDescent="0.25">
      <c r="A8" s="15" t="s">
        <v>4224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15"/>
      <c r="AC8" s="15"/>
      <c r="AD8" s="15"/>
      <c r="AE8" s="15"/>
      <c r="AF8" t="s">
        <v>4225</v>
      </c>
    </row>
    <row r="9" spans="1:32" ht="36" customHeight="1" x14ac:dyDescent="0.25">
      <c r="A9" s="14" t="s">
        <v>4226</v>
      </c>
      <c r="B9" s="13" t="s">
        <v>215</v>
      </c>
      <c r="C9" s="13" t="s">
        <v>225</v>
      </c>
      <c r="D9" s="13" t="s">
        <v>225</v>
      </c>
      <c r="E9" s="13" t="s">
        <v>225</v>
      </c>
      <c r="F9" s="13" t="s">
        <v>225</v>
      </c>
      <c r="G9" s="13" t="s">
        <v>225</v>
      </c>
      <c r="H9" s="13" t="s">
        <v>225</v>
      </c>
      <c r="I9" s="13" t="s">
        <v>225</v>
      </c>
      <c r="J9" s="13" t="s">
        <v>225</v>
      </c>
      <c r="K9" s="13" t="s">
        <v>225</v>
      </c>
      <c r="L9" s="13" t="s">
        <v>215</v>
      </c>
      <c r="M9" s="13" t="s">
        <v>215</v>
      </c>
      <c r="N9" s="13" t="s">
        <v>225</v>
      </c>
      <c r="O9" s="13" t="s">
        <v>225</v>
      </c>
      <c r="P9" s="13" t="s">
        <v>225</v>
      </c>
      <c r="Q9" s="13"/>
      <c r="R9" s="13" t="s">
        <v>225</v>
      </c>
      <c r="S9" s="13" t="s">
        <v>215</v>
      </c>
      <c r="T9" s="13" t="s">
        <v>225</v>
      </c>
      <c r="U9" s="13" t="s">
        <v>225</v>
      </c>
      <c r="V9" s="13" t="s">
        <v>225</v>
      </c>
      <c r="W9" s="13" t="s">
        <v>225</v>
      </c>
      <c r="X9" s="13" t="s">
        <v>225</v>
      </c>
      <c r="Y9" s="13" t="s">
        <v>225</v>
      </c>
      <c r="Z9" s="13" t="s">
        <v>225</v>
      </c>
      <c r="AA9" s="17" t="s">
        <v>225</v>
      </c>
      <c r="AB9" s="13" t="s">
        <v>225</v>
      </c>
      <c r="AC9" s="13" t="s">
        <v>225</v>
      </c>
      <c r="AD9" s="13" t="s">
        <v>225</v>
      </c>
      <c r="AE9" s="13" t="s">
        <v>215</v>
      </c>
      <c r="AF9" t="s">
        <v>276</v>
      </c>
    </row>
    <row r="10" spans="1:32" ht="36" customHeight="1" x14ac:dyDescent="0.25">
      <c r="A10" s="14" t="s">
        <v>4227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 t="s">
        <v>215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225</v>
      </c>
      <c r="AB10" s="13"/>
      <c r="AC10" s="13"/>
      <c r="AD10" s="13"/>
      <c r="AE10" s="13"/>
      <c r="AF10" t="s">
        <v>276</v>
      </c>
    </row>
    <row r="11" spans="1:32" ht="36" customHeight="1" x14ac:dyDescent="0.25">
      <c r="A11" s="14" t="s">
        <v>4228</v>
      </c>
      <c r="B11" s="13" t="s">
        <v>215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 t="s">
        <v>215</v>
      </c>
      <c r="T11" s="13"/>
      <c r="U11" s="13"/>
      <c r="V11" s="13"/>
      <c r="W11" s="13"/>
      <c r="X11" s="13"/>
      <c r="Y11" s="13"/>
      <c r="Z11" s="13"/>
      <c r="AA11" s="17" t="s">
        <v>225</v>
      </c>
      <c r="AB11" s="13"/>
      <c r="AC11" s="13"/>
      <c r="AD11" s="13"/>
      <c r="AE11" s="13"/>
      <c r="AF11" t="s">
        <v>276</v>
      </c>
    </row>
    <row r="12" spans="1:32" ht="36" customHeight="1" x14ac:dyDescent="0.25">
      <c r="A12" s="14" t="s">
        <v>4229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 t="s">
        <v>215</v>
      </c>
      <c r="R12" s="13"/>
      <c r="S12" s="13" t="s">
        <v>215</v>
      </c>
      <c r="T12" s="13"/>
      <c r="U12" s="13"/>
      <c r="V12" s="13"/>
      <c r="W12" s="13"/>
      <c r="X12" s="13"/>
      <c r="Y12" s="13"/>
      <c r="Z12" s="13"/>
      <c r="AA12" s="17" t="s">
        <v>225</v>
      </c>
      <c r="AB12" s="13"/>
      <c r="AC12" s="13"/>
      <c r="AD12" s="13"/>
      <c r="AE12" s="13"/>
      <c r="AF12" t="s">
        <v>276</v>
      </c>
    </row>
    <row r="13" spans="1:32" ht="36" customHeight="1" x14ac:dyDescent="0.25">
      <c r="A13" s="14" t="s">
        <v>4230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 t="s">
        <v>215</v>
      </c>
      <c r="R13" s="13"/>
      <c r="S13" s="13" t="s">
        <v>215</v>
      </c>
      <c r="T13" s="13"/>
      <c r="U13" s="13"/>
      <c r="V13" s="13"/>
      <c r="W13" s="13"/>
      <c r="X13" s="13"/>
      <c r="Y13" s="13"/>
      <c r="Z13" s="13"/>
      <c r="AA13" s="17" t="s">
        <v>225</v>
      </c>
      <c r="AB13" s="13"/>
      <c r="AC13" s="13"/>
      <c r="AD13" s="13"/>
      <c r="AE13" s="13"/>
      <c r="AF13" t="s">
        <v>276</v>
      </c>
    </row>
    <row r="14" spans="1:32" ht="36" customHeight="1" x14ac:dyDescent="0.25">
      <c r="A14" s="14" t="s">
        <v>4231</v>
      </c>
      <c r="B14" s="13"/>
      <c r="C14" s="13"/>
      <c r="D14" s="13"/>
      <c r="E14" s="13"/>
      <c r="F14" s="13"/>
      <c r="G14" s="13" t="s">
        <v>4232</v>
      </c>
      <c r="H14" s="13"/>
      <c r="I14" s="13"/>
      <c r="J14" s="13"/>
      <c r="K14" s="13"/>
      <c r="L14" s="13" t="s">
        <v>4232</v>
      </c>
      <c r="M14" s="13" t="s">
        <v>4232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225</v>
      </c>
      <c r="AB14" s="13"/>
      <c r="AC14" s="13"/>
      <c r="AD14" s="13"/>
      <c r="AE14" s="13"/>
      <c r="AF14" t="s">
        <v>4233</v>
      </c>
    </row>
    <row r="15" spans="1:32" ht="23.1" customHeight="1" x14ac:dyDescent="0.25">
      <c r="A15" s="15" t="s">
        <v>4234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 t="s">
        <v>228</v>
      </c>
      <c r="AB15" s="15"/>
      <c r="AC15" s="15"/>
      <c r="AD15" s="15"/>
      <c r="AE15" s="15"/>
      <c r="AF15" t="s">
        <v>4235</v>
      </c>
    </row>
  </sheetData>
  <mergeCells count="1">
    <mergeCell ref="A1:A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29"/>
  <sheetViews>
    <sheetView workbookViewId="0">
      <pane xSplit="2" ySplit="2" topLeftCell="X11" activePane="bottomRight" state="frozen"/>
      <selection pane="topRight" activeCell="C1" sqref="C1"/>
      <selection pane="bottomLeft" activeCell="A3" sqref="A3"/>
      <selection pane="bottomRight" activeCell="AA31" sqref="AA31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Directory'!A1","AI Features, Training Policy &amp; Transparency — Granular"),"AI Features, Training Policy &amp; Transparency — Granular")</f>
        <v>AI Features, Training Policy &amp; Transparency — Granular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269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  <c r="AF3" t="s">
        <v>225</v>
      </c>
    </row>
    <row r="4" spans="1:32" ht="36" customHeight="1" x14ac:dyDescent="0.25">
      <c r="A4" s="14" t="s">
        <v>4226</v>
      </c>
      <c r="B4" s="13" t="s">
        <v>215</v>
      </c>
      <c r="C4" s="13" t="s">
        <v>225</v>
      </c>
      <c r="D4" s="13" t="s">
        <v>225</v>
      </c>
      <c r="E4" s="13" t="s">
        <v>225</v>
      </c>
      <c r="F4" s="13" t="s">
        <v>225</v>
      </c>
      <c r="G4" s="13" t="s">
        <v>225</v>
      </c>
      <c r="H4" s="13" t="s">
        <v>225</v>
      </c>
      <c r="I4" s="13" t="s">
        <v>225</v>
      </c>
      <c r="J4" s="13" t="s">
        <v>225</v>
      </c>
      <c r="K4" s="13" t="s">
        <v>225</v>
      </c>
      <c r="L4" s="13" t="s">
        <v>215</v>
      </c>
      <c r="M4" s="13" t="s">
        <v>215</v>
      </c>
      <c r="N4" s="13" t="s">
        <v>225</v>
      </c>
      <c r="O4" s="13" t="s">
        <v>225</v>
      </c>
      <c r="P4" s="13" t="s">
        <v>225</v>
      </c>
      <c r="Q4" s="13"/>
      <c r="R4" s="13" t="s">
        <v>225</v>
      </c>
      <c r="S4" s="13" t="s">
        <v>215</v>
      </c>
      <c r="T4" s="13" t="s">
        <v>225</v>
      </c>
      <c r="U4" s="13" t="s">
        <v>225</v>
      </c>
      <c r="V4" s="13" t="s">
        <v>225</v>
      </c>
      <c r="W4" s="13" t="s">
        <v>225</v>
      </c>
      <c r="X4" s="13" t="s">
        <v>225</v>
      </c>
      <c r="Y4" s="13" t="s">
        <v>225</v>
      </c>
      <c r="Z4" s="13" t="s">
        <v>225</v>
      </c>
      <c r="AA4" s="17" t="s">
        <v>225</v>
      </c>
      <c r="AB4" s="13" t="s">
        <v>225</v>
      </c>
      <c r="AC4" s="13" t="s">
        <v>225</v>
      </c>
      <c r="AD4" s="13" t="s">
        <v>225</v>
      </c>
      <c r="AE4" s="13" t="s">
        <v>215</v>
      </c>
      <c r="AF4" t="s">
        <v>276</v>
      </c>
    </row>
    <row r="5" spans="1:32" ht="36" customHeight="1" x14ac:dyDescent="0.25">
      <c r="A5" s="14" t="s">
        <v>4236</v>
      </c>
      <c r="B5" s="13" t="s">
        <v>215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 t="s">
        <v>215</v>
      </c>
      <c r="T5" s="13"/>
      <c r="U5" s="13"/>
      <c r="V5" s="13"/>
      <c r="W5" s="13"/>
      <c r="X5" s="13"/>
      <c r="Y5" s="13"/>
      <c r="Z5" s="13"/>
      <c r="AA5" s="17" t="s">
        <v>225</v>
      </c>
      <c r="AB5" s="13"/>
      <c r="AC5" s="13"/>
      <c r="AD5" s="13"/>
      <c r="AE5" s="13"/>
      <c r="AF5" t="s">
        <v>276</v>
      </c>
    </row>
    <row r="6" spans="1:32" ht="36" customHeight="1" x14ac:dyDescent="0.25">
      <c r="A6" s="14" t="s">
        <v>4237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 t="s">
        <v>215</v>
      </c>
      <c r="T6" s="13"/>
      <c r="U6" s="13"/>
      <c r="V6" s="13"/>
      <c r="W6" s="13"/>
      <c r="X6" s="13"/>
      <c r="Y6" s="13"/>
      <c r="Z6" s="13"/>
      <c r="AA6" s="17" t="s">
        <v>225</v>
      </c>
      <c r="AB6" s="13"/>
      <c r="AC6" s="13"/>
      <c r="AD6" s="13"/>
      <c r="AE6" s="13"/>
      <c r="AF6" t="s">
        <v>276</v>
      </c>
    </row>
    <row r="7" spans="1:32" ht="36" customHeight="1" x14ac:dyDescent="0.25">
      <c r="A7" s="14" t="s">
        <v>4227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215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 t="s">
        <v>225</v>
      </c>
      <c r="AB7" s="13"/>
      <c r="AC7" s="13"/>
      <c r="AD7" s="13"/>
      <c r="AE7" s="13"/>
      <c r="AF7" t="s">
        <v>276</v>
      </c>
    </row>
    <row r="8" spans="1:32" ht="36" customHeight="1" x14ac:dyDescent="0.25">
      <c r="A8" s="14" t="s">
        <v>4238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 t="s">
        <v>215</v>
      </c>
      <c r="M8" s="13"/>
      <c r="N8" s="13"/>
      <c r="O8" s="13"/>
      <c r="P8" s="13"/>
      <c r="Q8" s="13"/>
      <c r="R8" s="13"/>
      <c r="S8" s="13" t="s">
        <v>215</v>
      </c>
      <c r="T8" s="13"/>
      <c r="U8" s="13"/>
      <c r="V8" s="13"/>
      <c r="W8" s="13"/>
      <c r="X8" s="13"/>
      <c r="Y8" s="13"/>
      <c r="Z8" s="13"/>
      <c r="AA8" s="17" t="s">
        <v>225</v>
      </c>
      <c r="AB8" s="13"/>
      <c r="AC8" s="13"/>
      <c r="AD8" s="13"/>
      <c r="AE8" s="13"/>
      <c r="AF8" t="s">
        <v>276</v>
      </c>
    </row>
    <row r="9" spans="1:32" ht="36" customHeight="1" x14ac:dyDescent="0.25">
      <c r="A9" s="14" t="s">
        <v>4228</v>
      </c>
      <c r="B9" s="13" t="s">
        <v>215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 t="s">
        <v>215</v>
      </c>
      <c r="T9" s="13"/>
      <c r="U9" s="13"/>
      <c r="V9" s="13"/>
      <c r="W9" s="13"/>
      <c r="X9" s="13"/>
      <c r="Y9" s="13"/>
      <c r="Z9" s="13"/>
      <c r="AA9" s="17" t="s">
        <v>225</v>
      </c>
      <c r="AB9" s="13"/>
      <c r="AC9" s="13"/>
      <c r="AD9" s="13"/>
      <c r="AE9" s="13"/>
      <c r="AF9" t="s">
        <v>276</v>
      </c>
    </row>
    <row r="10" spans="1:32" ht="36" customHeight="1" x14ac:dyDescent="0.25">
      <c r="A10" s="14" t="s">
        <v>4229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 t="s">
        <v>215</v>
      </c>
      <c r="R10" s="13"/>
      <c r="S10" s="13" t="s">
        <v>215</v>
      </c>
      <c r="T10" s="13"/>
      <c r="U10" s="13"/>
      <c r="V10" s="13"/>
      <c r="W10" s="13"/>
      <c r="X10" s="13"/>
      <c r="Y10" s="13"/>
      <c r="Z10" s="13"/>
      <c r="AA10" s="17" t="s">
        <v>225</v>
      </c>
      <c r="AB10" s="13"/>
      <c r="AC10" s="13"/>
      <c r="AD10" s="13"/>
      <c r="AE10" s="13"/>
      <c r="AF10" t="s">
        <v>276</v>
      </c>
    </row>
    <row r="11" spans="1:32" ht="36" customHeight="1" x14ac:dyDescent="0.25">
      <c r="A11" s="14" t="s">
        <v>4230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 t="s">
        <v>215</v>
      </c>
      <c r="R11" s="13"/>
      <c r="S11" s="13" t="s">
        <v>215</v>
      </c>
      <c r="T11" s="13"/>
      <c r="U11" s="13"/>
      <c r="V11" s="13"/>
      <c r="W11" s="13"/>
      <c r="X11" s="13"/>
      <c r="Y11" s="13"/>
      <c r="Z11" s="13"/>
      <c r="AA11" s="17" t="s">
        <v>225</v>
      </c>
      <c r="AB11" s="13"/>
      <c r="AC11" s="13"/>
      <c r="AD11" s="13"/>
      <c r="AE11" s="13"/>
      <c r="AF11" t="s">
        <v>276</v>
      </c>
    </row>
    <row r="12" spans="1:32" ht="23.1" customHeight="1" x14ac:dyDescent="0.25">
      <c r="A12" s="15" t="s">
        <v>4239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4240</v>
      </c>
      <c r="B13" s="13" t="s">
        <v>4188</v>
      </c>
      <c r="C13" s="13"/>
      <c r="D13" s="13"/>
      <c r="E13" s="13" t="s">
        <v>4189</v>
      </c>
      <c r="F13" s="13" t="s">
        <v>4190</v>
      </c>
      <c r="G13" s="13" t="s">
        <v>4191</v>
      </c>
      <c r="H13" s="13" t="s">
        <v>4192</v>
      </c>
      <c r="I13" s="13" t="s">
        <v>4193</v>
      </c>
      <c r="J13" s="13"/>
      <c r="K13" s="13" t="s">
        <v>4194</v>
      </c>
      <c r="L13" s="13" t="s">
        <v>4195</v>
      </c>
      <c r="M13" s="13"/>
      <c r="N13" s="13"/>
      <c r="O13" s="13"/>
      <c r="P13" s="13"/>
      <c r="Q13" s="13"/>
      <c r="R13" s="13"/>
      <c r="S13" s="13"/>
      <c r="T13" s="13" t="s">
        <v>4196</v>
      </c>
      <c r="U13" s="13" t="s">
        <v>4197</v>
      </c>
      <c r="V13" s="13" t="s">
        <v>299</v>
      </c>
      <c r="W13" s="13" t="s">
        <v>4198</v>
      </c>
      <c r="X13" s="13" t="s">
        <v>4199</v>
      </c>
      <c r="Y13" s="13" t="s">
        <v>4200</v>
      </c>
      <c r="Z13" s="13" t="s">
        <v>4201</v>
      </c>
      <c r="AA13" s="17" t="s">
        <v>4202</v>
      </c>
      <c r="AB13" s="13"/>
      <c r="AC13" s="13"/>
      <c r="AD13" s="13"/>
      <c r="AE13" s="13"/>
      <c r="AF13" t="s">
        <v>4203</v>
      </c>
    </row>
    <row r="14" spans="1:32" ht="36" customHeight="1" x14ac:dyDescent="0.25">
      <c r="A14" s="14" t="s">
        <v>4241</v>
      </c>
      <c r="B14" s="13" t="s">
        <v>4188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/>
      <c r="AB14" s="13"/>
      <c r="AC14" s="13"/>
      <c r="AD14" s="13"/>
      <c r="AE14" s="13"/>
      <c r="AF14" t="s">
        <v>4203</v>
      </c>
    </row>
    <row r="15" spans="1:32" ht="36" customHeight="1" x14ac:dyDescent="0.25">
      <c r="A15" s="14" t="s">
        <v>4242</v>
      </c>
      <c r="B15" s="13"/>
      <c r="C15" s="13"/>
      <c r="D15" s="13"/>
      <c r="E15" s="13"/>
      <c r="F15" s="13" t="s">
        <v>4190</v>
      </c>
      <c r="G15" s="13"/>
      <c r="H15" s="13"/>
      <c r="I15" s="13"/>
      <c r="J15" s="13"/>
      <c r="K15" s="13" t="s">
        <v>4194</v>
      </c>
      <c r="L15" s="13"/>
      <c r="M15" s="13"/>
      <c r="N15" s="13"/>
      <c r="O15" s="13"/>
      <c r="P15" s="13"/>
      <c r="Q15" s="13"/>
      <c r="R15" s="13"/>
      <c r="S15" s="13"/>
      <c r="T15" s="13"/>
      <c r="U15" s="13" t="s">
        <v>4197</v>
      </c>
      <c r="V15" s="13"/>
      <c r="W15" s="13"/>
      <c r="X15" s="13" t="s">
        <v>4199</v>
      </c>
      <c r="Y15" s="13"/>
      <c r="Z15" s="13"/>
      <c r="AA15" s="17"/>
      <c r="AB15" s="13"/>
      <c r="AC15" s="13"/>
      <c r="AD15" s="13"/>
      <c r="AE15" s="13"/>
      <c r="AF15" t="s">
        <v>4203</v>
      </c>
    </row>
    <row r="16" spans="1:32" ht="36" customHeight="1" x14ac:dyDescent="0.25">
      <c r="A16" s="14" t="s">
        <v>4243</v>
      </c>
      <c r="B16" s="13" t="s">
        <v>4205</v>
      </c>
      <c r="C16" s="13"/>
      <c r="D16" s="13"/>
      <c r="E16" s="13" t="s">
        <v>4206</v>
      </c>
      <c r="F16" s="13" t="s">
        <v>4207</v>
      </c>
      <c r="G16" s="13" t="s">
        <v>4208</v>
      </c>
      <c r="H16" s="13" t="s">
        <v>4209</v>
      </c>
      <c r="I16" s="13" t="s">
        <v>228</v>
      </c>
      <c r="J16" s="13"/>
      <c r="K16" s="13"/>
      <c r="L16" s="13" t="s">
        <v>296</v>
      </c>
      <c r="M16" s="13" t="s">
        <v>296</v>
      </c>
      <c r="N16" s="13"/>
      <c r="O16" s="13"/>
      <c r="P16" s="13"/>
      <c r="Q16" s="13"/>
      <c r="R16" s="13"/>
      <c r="S16" s="13"/>
      <c r="T16" s="13"/>
      <c r="U16" s="13" t="s">
        <v>228</v>
      </c>
      <c r="V16" s="13" t="s">
        <v>276</v>
      </c>
      <c r="W16" s="13"/>
      <c r="X16" s="13" t="s">
        <v>228</v>
      </c>
      <c r="Y16" s="13" t="s">
        <v>228</v>
      </c>
      <c r="Z16" s="13" t="s">
        <v>228</v>
      </c>
      <c r="AA16" s="17" t="s">
        <v>276</v>
      </c>
      <c r="AB16" s="13"/>
      <c r="AC16" s="13"/>
      <c r="AD16" s="13"/>
      <c r="AE16" s="13"/>
      <c r="AF16" t="s">
        <v>4210</v>
      </c>
    </row>
    <row r="17" spans="1:32" ht="36" customHeight="1" x14ac:dyDescent="0.25">
      <c r="A17" s="14" t="s">
        <v>4231</v>
      </c>
      <c r="B17" s="13"/>
      <c r="C17" s="13"/>
      <c r="D17" s="13"/>
      <c r="E17" s="13"/>
      <c r="F17" s="13"/>
      <c r="G17" s="13" t="s">
        <v>4232</v>
      </c>
      <c r="H17" s="13"/>
      <c r="I17" s="13"/>
      <c r="J17" s="13"/>
      <c r="K17" s="13"/>
      <c r="L17" s="13" t="s">
        <v>4232</v>
      </c>
      <c r="M17" s="13" t="s">
        <v>4232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276</v>
      </c>
      <c r="AB17" s="13"/>
      <c r="AC17" s="13"/>
      <c r="AD17" s="13"/>
      <c r="AE17" s="13"/>
      <c r="AF17" t="s">
        <v>4233</v>
      </c>
    </row>
    <row r="18" spans="1:32" ht="23.1" customHeight="1" x14ac:dyDescent="0.25">
      <c r="A18" s="15" t="s">
        <v>4244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5"/>
      <c r="AD18" s="15"/>
      <c r="AE18" s="15"/>
    </row>
    <row r="19" spans="1:32" ht="23.1" customHeight="1" x14ac:dyDescent="0.25">
      <c r="A19" s="15" t="s">
        <v>4234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15"/>
      <c r="AC19" s="15"/>
      <c r="AD19" s="15"/>
      <c r="AE19" s="15"/>
      <c r="AF19" t="s">
        <v>4235</v>
      </c>
    </row>
    <row r="20" spans="1:32" ht="36" customHeight="1" x14ac:dyDescent="0.25">
      <c r="A20" s="14" t="s">
        <v>4245</v>
      </c>
      <c r="B20" s="13"/>
      <c r="C20" s="13"/>
      <c r="D20" s="13"/>
      <c r="E20" s="13" t="s">
        <v>4215</v>
      </c>
      <c r="F20" s="13"/>
      <c r="G20" s="13" t="s">
        <v>4208</v>
      </c>
      <c r="H20" s="13"/>
      <c r="I20" s="13" t="s">
        <v>228</v>
      </c>
      <c r="J20" s="13"/>
      <c r="K20" s="13"/>
      <c r="L20" s="13"/>
      <c r="M20" s="13"/>
      <c r="N20" s="13"/>
      <c r="O20" s="13"/>
      <c r="P20" s="13"/>
      <c r="Q20" s="13" t="s">
        <v>4216</v>
      </c>
      <c r="R20" s="13"/>
      <c r="S20" s="13" t="s">
        <v>4217</v>
      </c>
      <c r="T20" s="13"/>
      <c r="U20" s="13" t="s">
        <v>4218</v>
      </c>
      <c r="V20" s="13" t="s">
        <v>4219</v>
      </c>
      <c r="W20" s="13"/>
      <c r="X20" s="13"/>
      <c r="Y20" s="13" t="s">
        <v>4220</v>
      </c>
      <c r="Z20" s="13"/>
      <c r="AA20" s="17" t="s">
        <v>4246</v>
      </c>
      <c r="AB20" s="13"/>
      <c r="AC20" s="13"/>
      <c r="AD20" s="13"/>
      <c r="AE20" s="13" t="s">
        <v>4222</v>
      </c>
      <c r="AF20" t="s">
        <v>4223</v>
      </c>
    </row>
    <row r="21" spans="1:32" ht="36" customHeight="1" x14ac:dyDescent="0.25">
      <c r="A21" s="14" t="s">
        <v>4247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 t="s">
        <v>4248</v>
      </c>
      <c r="W21" s="13"/>
      <c r="X21" s="13"/>
      <c r="Y21" s="13"/>
      <c r="Z21" s="13"/>
      <c r="AA21" s="17"/>
      <c r="AB21" s="13"/>
      <c r="AC21" s="13"/>
      <c r="AD21" s="13"/>
      <c r="AE21" s="13"/>
      <c r="AF21" t="s">
        <v>4223</v>
      </c>
    </row>
    <row r="22" spans="1:32" ht="36" customHeight="1" x14ac:dyDescent="0.25">
      <c r="A22" s="14" t="s">
        <v>4249</v>
      </c>
      <c r="B22" s="13"/>
      <c r="C22" s="13"/>
      <c r="D22" s="13"/>
      <c r="E22" s="13"/>
      <c r="F22" s="13"/>
      <c r="G22" s="13"/>
      <c r="H22" s="13"/>
      <c r="I22" s="13" t="s">
        <v>228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 t="s">
        <v>4212</v>
      </c>
      <c r="W22" s="13"/>
      <c r="X22" s="13"/>
      <c r="Y22" s="13"/>
      <c r="Z22" s="13"/>
      <c r="AA22" s="17"/>
      <c r="AB22" s="13"/>
      <c r="AC22" s="13"/>
      <c r="AD22" s="13"/>
      <c r="AE22" s="13"/>
      <c r="AF22" t="s">
        <v>4213</v>
      </c>
    </row>
    <row r="23" spans="1:32" ht="23.1" customHeight="1" x14ac:dyDescent="0.25">
      <c r="A23" s="15" t="s">
        <v>1623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15"/>
      <c r="AC23" s="15"/>
      <c r="AD23" s="15"/>
      <c r="AE23" s="15"/>
    </row>
    <row r="24" spans="1:32" ht="36" customHeight="1" x14ac:dyDescent="0.25">
      <c r="A24" s="14" t="s">
        <v>4250</v>
      </c>
      <c r="B24" s="13"/>
      <c r="C24" s="13"/>
      <c r="D24" s="13"/>
      <c r="E24" s="13" t="s">
        <v>4215</v>
      </c>
      <c r="F24" s="13"/>
      <c r="G24" s="13" t="s">
        <v>4208</v>
      </c>
      <c r="H24" s="13"/>
      <c r="I24" s="13" t="s">
        <v>228</v>
      </c>
      <c r="J24" s="13"/>
      <c r="K24" s="13"/>
      <c r="L24" s="13"/>
      <c r="M24" s="13"/>
      <c r="N24" s="13"/>
      <c r="O24" s="13"/>
      <c r="P24" s="13"/>
      <c r="Q24" s="13" t="s">
        <v>4216</v>
      </c>
      <c r="R24" s="13"/>
      <c r="S24" s="13" t="s">
        <v>4217</v>
      </c>
      <c r="T24" s="13"/>
      <c r="U24" s="13" t="s">
        <v>4218</v>
      </c>
      <c r="V24" s="13" t="s">
        <v>4219</v>
      </c>
      <c r="W24" s="13"/>
      <c r="X24" s="13"/>
      <c r="Y24" s="13" t="s">
        <v>4220</v>
      </c>
      <c r="Z24" s="13"/>
      <c r="AA24" s="17" t="s">
        <v>4251</v>
      </c>
      <c r="AB24" s="13"/>
      <c r="AC24" s="13"/>
      <c r="AD24" s="13"/>
      <c r="AE24" s="13" t="s">
        <v>4222</v>
      </c>
      <c r="AF24" t="s">
        <v>4225</v>
      </c>
    </row>
    <row r="25" spans="1:32" ht="23.1" customHeight="1" x14ac:dyDescent="0.25">
      <c r="A25" s="15" t="s">
        <v>4252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15"/>
      <c r="AC25" s="15"/>
      <c r="AD25" s="15"/>
      <c r="AE25" s="15"/>
    </row>
    <row r="26" spans="1:32" ht="23.1" customHeight="1" x14ac:dyDescent="0.25">
      <c r="A26" s="15" t="s">
        <v>4253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  <c r="AB26" s="15"/>
      <c r="AC26" s="15"/>
      <c r="AD26" s="15"/>
      <c r="AE26" s="15"/>
      <c r="AF26" t="s">
        <v>4254</v>
      </c>
    </row>
    <row r="27" spans="1:32" ht="23.1" customHeight="1" x14ac:dyDescent="0.25">
      <c r="A27" s="15" t="s">
        <v>4255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  <c r="AB27" s="15"/>
      <c r="AC27" s="15"/>
      <c r="AD27" s="15"/>
      <c r="AE27" s="15"/>
      <c r="AF27" t="s">
        <v>4256</v>
      </c>
    </row>
    <row r="28" spans="1:32" ht="36" customHeight="1" x14ac:dyDescent="0.25">
      <c r="A28" s="14" t="s">
        <v>4257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 t="s">
        <v>4258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7"/>
      <c r="AB28" s="13"/>
      <c r="AC28" s="13"/>
      <c r="AD28" s="13"/>
      <c r="AE28" s="13"/>
      <c r="AF28" t="s">
        <v>4259</v>
      </c>
    </row>
    <row r="29" spans="1:32" ht="23.1" customHeight="1" x14ac:dyDescent="0.25">
      <c r="A29" s="15" t="s">
        <v>4260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15"/>
      <c r="AC29" s="15"/>
      <c r="AD29" s="15"/>
      <c r="AE29" s="15"/>
      <c r="AF29" t="s">
        <v>4259</v>
      </c>
    </row>
  </sheetData>
  <mergeCells count="1">
    <mergeCell ref="A1:AF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16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15" sqref="AA15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Directory'!A1","Business Model &amp; Sustainability"),"Business Model &amp; Sustainability")</f>
        <v>Business Model &amp; Sustainability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4261</v>
      </c>
      <c r="B3" s="13" t="s">
        <v>4262</v>
      </c>
      <c r="C3" s="13"/>
      <c r="D3" s="13"/>
      <c r="E3" s="13" t="s">
        <v>4263</v>
      </c>
      <c r="F3" s="13"/>
      <c r="G3" s="13" t="s">
        <v>4264</v>
      </c>
      <c r="H3" s="13" t="s">
        <v>1087</v>
      </c>
      <c r="I3" s="13" t="s">
        <v>1087</v>
      </c>
      <c r="J3" s="13" t="s">
        <v>1088</v>
      </c>
      <c r="K3" s="13" t="s">
        <v>4265</v>
      </c>
      <c r="L3" s="13" t="s">
        <v>4266</v>
      </c>
      <c r="M3" s="13" t="s">
        <v>4267</v>
      </c>
      <c r="N3" s="13" t="s">
        <v>4268</v>
      </c>
      <c r="O3" s="13" t="s">
        <v>4269</v>
      </c>
      <c r="P3" s="13"/>
      <c r="Q3" s="13"/>
      <c r="R3" s="13" t="s">
        <v>4270</v>
      </c>
      <c r="S3" s="13" t="s">
        <v>4271</v>
      </c>
      <c r="T3" s="13" t="s">
        <v>4272</v>
      </c>
      <c r="U3" s="13" t="s">
        <v>4273</v>
      </c>
      <c r="V3" s="13" t="s">
        <v>4274</v>
      </c>
      <c r="W3" s="13" t="s">
        <v>4275</v>
      </c>
      <c r="X3" s="13" t="s">
        <v>4275</v>
      </c>
      <c r="Y3" s="13" t="s">
        <v>4276</v>
      </c>
      <c r="Z3" s="13" t="s">
        <v>4277</v>
      </c>
      <c r="AA3" s="17" t="s">
        <v>5864</v>
      </c>
      <c r="AB3" s="13" t="s">
        <v>4278</v>
      </c>
      <c r="AC3" s="13" t="s">
        <v>4279</v>
      </c>
      <c r="AD3" s="13" t="s">
        <v>4280</v>
      </c>
      <c r="AE3" s="13" t="s">
        <v>4281</v>
      </c>
      <c r="AF3" t="s">
        <v>4282</v>
      </c>
    </row>
    <row r="4" spans="1:32" ht="36" customHeight="1" x14ac:dyDescent="0.25">
      <c r="A4" s="14" t="s">
        <v>4283</v>
      </c>
      <c r="B4" s="13" t="s">
        <v>4284</v>
      </c>
      <c r="C4" s="13"/>
      <c r="D4" s="13" t="s">
        <v>4285</v>
      </c>
      <c r="E4" s="13" t="s">
        <v>4286</v>
      </c>
      <c r="F4" s="13" t="s">
        <v>4287</v>
      </c>
      <c r="G4" s="13" t="s">
        <v>4288</v>
      </c>
      <c r="H4" s="13" t="s">
        <v>4289</v>
      </c>
      <c r="I4" s="13" t="s">
        <v>4290</v>
      </c>
      <c r="J4" s="13" t="s">
        <v>4291</v>
      </c>
      <c r="K4" s="13" t="s">
        <v>4292</v>
      </c>
      <c r="L4" s="13" t="s">
        <v>4293</v>
      </c>
      <c r="M4" s="13" t="s">
        <v>4294</v>
      </c>
      <c r="N4" s="13" t="s">
        <v>4295</v>
      </c>
      <c r="O4" s="13" t="s">
        <v>4296</v>
      </c>
      <c r="P4" s="13"/>
      <c r="Q4" s="13"/>
      <c r="R4" s="13"/>
      <c r="S4" s="13" t="s">
        <v>4297</v>
      </c>
      <c r="T4" s="13"/>
      <c r="U4" s="13" t="s">
        <v>4298</v>
      </c>
      <c r="V4" s="13" t="s">
        <v>4299</v>
      </c>
      <c r="W4" s="13" t="s">
        <v>4300</v>
      </c>
      <c r="X4" s="13" t="s">
        <v>4301</v>
      </c>
      <c r="Y4" s="13" t="s">
        <v>4302</v>
      </c>
      <c r="Z4" s="13" t="s">
        <v>314</v>
      </c>
      <c r="AA4" s="17" t="s">
        <v>5865</v>
      </c>
      <c r="AB4" s="13" t="s">
        <v>4303</v>
      </c>
      <c r="AC4" s="13"/>
      <c r="AD4" s="13" t="s">
        <v>4304</v>
      </c>
      <c r="AE4" s="13" t="s">
        <v>4305</v>
      </c>
      <c r="AF4" t="s">
        <v>338</v>
      </c>
    </row>
    <row r="5" spans="1:32" ht="36" customHeight="1" x14ac:dyDescent="0.25">
      <c r="A5" s="14" t="s">
        <v>4306</v>
      </c>
      <c r="B5" s="13" t="s">
        <v>4307</v>
      </c>
      <c r="C5" s="13"/>
      <c r="D5" s="13" t="s">
        <v>4308</v>
      </c>
      <c r="E5" s="13" t="s">
        <v>4309</v>
      </c>
      <c r="F5" s="13"/>
      <c r="G5" s="13" t="s">
        <v>4310</v>
      </c>
      <c r="H5" s="13" t="s">
        <v>228</v>
      </c>
      <c r="I5" s="13" t="s">
        <v>228</v>
      </c>
      <c r="J5" s="13"/>
      <c r="K5" s="13" t="s">
        <v>228</v>
      </c>
      <c r="L5" s="13" t="s">
        <v>228</v>
      </c>
      <c r="M5" s="13" t="s">
        <v>228</v>
      </c>
      <c r="N5" s="13" t="s">
        <v>4311</v>
      </c>
      <c r="O5" s="13" t="s">
        <v>4312</v>
      </c>
      <c r="P5" s="13"/>
      <c r="Q5" s="13"/>
      <c r="R5" s="13"/>
      <c r="S5" s="13" t="s">
        <v>4313</v>
      </c>
      <c r="T5" s="13" t="s">
        <v>4314</v>
      </c>
      <c r="U5" s="13" t="s">
        <v>4315</v>
      </c>
      <c r="V5" s="13" t="s">
        <v>225</v>
      </c>
      <c r="W5" s="13" t="s">
        <v>225</v>
      </c>
      <c r="X5" s="13" t="s">
        <v>225</v>
      </c>
      <c r="Y5" s="13" t="s">
        <v>225</v>
      </c>
      <c r="Z5" s="13" t="s">
        <v>225</v>
      </c>
      <c r="AA5" s="17" t="s">
        <v>225</v>
      </c>
      <c r="AB5" s="13" t="s">
        <v>4316</v>
      </c>
      <c r="AC5" s="13"/>
      <c r="AD5" s="13" t="s">
        <v>4317</v>
      </c>
      <c r="AE5" s="13" t="s">
        <v>4318</v>
      </c>
      <c r="AF5" t="s">
        <v>4319</v>
      </c>
    </row>
    <row r="6" spans="1:32" ht="36" customHeight="1" x14ac:dyDescent="0.25">
      <c r="A6" s="14" t="s">
        <v>4320</v>
      </c>
      <c r="B6" s="13" t="s">
        <v>2431</v>
      </c>
      <c r="C6" s="13"/>
      <c r="D6" s="13" t="s">
        <v>2435</v>
      </c>
      <c r="E6" s="13"/>
      <c r="F6" s="13" t="s">
        <v>228</v>
      </c>
      <c r="G6" s="13" t="s">
        <v>4321</v>
      </c>
      <c r="H6" s="13"/>
      <c r="I6" s="13"/>
      <c r="J6" s="13"/>
      <c r="K6" s="13" t="s">
        <v>4322</v>
      </c>
      <c r="L6" s="13" t="s">
        <v>4323</v>
      </c>
      <c r="M6" s="13" t="s">
        <v>4324</v>
      </c>
      <c r="N6" s="13"/>
      <c r="O6" s="13"/>
      <c r="P6" s="13" t="s">
        <v>228</v>
      </c>
      <c r="Q6" s="13"/>
      <c r="R6" s="13"/>
      <c r="S6" s="13"/>
      <c r="T6" s="13" t="s">
        <v>228</v>
      </c>
      <c r="U6" s="13" t="s">
        <v>4325</v>
      </c>
      <c r="V6" s="13"/>
      <c r="W6" s="13"/>
      <c r="X6" s="13" t="s">
        <v>4326</v>
      </c>
      <c r="Y6" s="13" t="s">
        <v>4327</v>
      </c>
      <c r="Z6" s="13" t="s">
        <v>4325</v>
      </c>
      <c r="AA6" s="17" t="s">
        <v>228</v>
      </c>
      <c r="AB6" s="13"/>
      <c r="AC6" s="13" t="s">
        <v>228</v>
      </c>
      <c r="AD6" s="13"/>
      <c r="AE6" s="13" t="s">
        <v>228</v>
      </c>
      <c r="AF6" t="s">
        <v>4328</v>
      </c>
    </row>
    <row r="7" spans="1:32" ht="36" customHeight="1" x14ac:dyDescent="0.25">
      <c r="A7" s="14" t="s">
        <v>4329</v>
      </c>
      <c r="B7" s="13" t="s">
        <v>2431</v>
      </c>
      <c r="C7" s="13"/>
      <c r="D7" s="13" t="s">
        <v>2435</v>
      </c>
      <c r="E7" s="13"/>
      <c r="F7" s="13" t="s">
        <v>228</v>
      </c>
      <c r="G7" s="13" t="s">
        <v>2580</v>
      </c>
      <c r="H7" s="13"/>
      <c r="I7" s="13"/>
      <c r="J7" s="13"/>
      <c r="K7" s="13" t="s">
        <v>4330</v>
      </c>
      <c r="L7" s="13" t="s">
        <v>4323</v>
      </c>
      <c r="M7" s="13" t="s">
        <v>4324</v>
      </c>
      <c r="N7" s="13"/>
      <c r="O7" s="13"/>
      <c r="P7" s="13" t="s">
        <v>228</v>
      </c>
      <c r="Q7" s="13"/>
      <c r="R7" s="13"/>
      <c r="S7" s="13"/>
      <c r="T7" s="13" t="s">
        <v>228</v>
      </c>
      <c r="U7" s="13" t="s">
        <v>4325</v>
      </c>
      <c r="V7" s="13"/>
      <c r="W7" s="13"/>
      <c r="X7" s="13" t="s">
        <v>4326</v>
      </c>
      <c r="Y7" s="13"/>
      <c r="Z7" s="13" t="s">
        <v>4325</v>
      </c>
      <c r="AA7" s="17" t="s">
        <v>228</v>
      </c>
      <c r="AB7" s="13"/>
      <c r="AC7" s="13" t="s">
        <v>228</v>
      </c>
      <c r="AD7" s="13"/>
      <c r="AE7" s="13" t="s">
        <v>228</v>
      </c>
      <c r="AF7" t="s">
        <v>4213</v>
      </c>
    </row>
    <row r="8" spans="1:32" ht="36" customHeight="1" x14ac:dyDescent="0.25">
      <c r="A8" s="14" t="s">
        <v>4331</v>
      </c>
      <c r="B8" s="13"/>
      <c r="C8" s="13"/>
      <c r="D8" s="13" t="s">
        <v>4332</v>
      </c>
      <c r="E8" s="13"/>
      <c r="F8" s="13"/>
      <c r="G8" s="13" t="s">
        <v>4333</v>
      </c>
      <c r="H8" s="13" t="s">
        <v>4334</v>
      </c>
      <c r="I8" s="13" t="s">
        <v>4335</v>
      </c>
      <c r="J8" s="13" t="s">
        <v>4336</v>
      </c>
      <c r="K8" s="13" t="s">
        <v>4337</v>
      </c>
      <c r="L8" s="13"/>
      <c r="M8" s="13" t="s">
        <v>4338</v>
      </c>
      <c r="N8" s="13" t="s">
        <v>4339</v>
      </c>
      <c r="O8" s="13" t="s">
        <v>4340</v>
      </c>
      <c r="P8" s="13"/>
      <c r="Q8" s="13" t="s">
        <v>4341</v>
      </c>
      <c r="R8" s="13" t="s">
        <v>4342</v>
      </c>
      <c r="S8" s="13" t="s">
        <v>4343</v>
      </c>
      <c r="T8" s="13"/>
      <c r="U8" s="13" t="s">
        <v>4344</v>
      </c>
      <c r="V8" s="13" t="s">
        <v>4345</v>
      </c>
      <c r="W8" s="13" t="s">
        <v>4346</v>
      </c>
      <c r="X8" s="13" t="s">
        <v>4347</v>
      </c>
      <c r="Y8" s="13" t="s">
        <v>4348</v>
      </c>
      <c r="Z8" s="13" t="s">
        <v>4349</v>
      </c>
      <c r="AA8" s="17" t="s">
        <v>4350</v>
      </c>
      <c r="AB8" s="13" t="s">
        <v>4351</v>
      </c>
      <c r="AC8" s="13" t="s">
        <v>4352</v>
      </c>
      <c r="AD8" s="13" t="s">
        <v>4353</v>
      </c>
      <c r="AE8" s="13" t="s">
        <v>4354</v>
      </c>
      <c r="AF8" t="s">
        <v>4355</v>
      </c>
    </row>
    <row r="9" spans="1:32" ht="23.1" customHeight="1" x14ac:dyDescent="0.25">
      <c r="A9" s="15" t="s">
        <v>4356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  <c r="AF9" t="s">
        <v>4357</v>
      </c>
    </row>
    <row r="10" spans="1:32" ht="36" customHeight="1" x14ac:dyDescent="0.25">
      <c r="A10" s="14" t="s">
        <v>4358</v>
      </c>
      <c r="B10" s="13" t="s">
        <v>215</v>
      </c>
      <c r="C10" s="13" t="s">
        <v>215</v>
      </c>
      <c r="D10" s="13" t="s">
        <v>215</v>
      </c>
      <c r="E10" s="13" t="s">
        <v>215</v>
      </c>
      <c r="F10" s="13" t="s">
        <v>215</v>
      </c>
      <c r="G10" s="13" t="s">
        <v>215</v>
      </c>
      <c r="H10" s="13" t="s">
        <v>215</v>
      </c>
      <c r="I10" s="13" t="s">
        <v>215</v>
      </c>
      <c r="J10" s="13" t="s">
        <v>215</v>
      </c>
      <c r="K10" s="13" t="s">
        <v>215</v>
      </c>
      <c r="L10" s="13" t="s">
        <v>215</v>
      </c>
      <c r="M10" s="13" t="s">
        <v>215</v>
      </c>
      <c r="N10" s="13" t="s">
        <v>215</v>
      </c>
      <c r="O10" s="13" t="s">
        <v>215</v>
      </c>
      <c r="P10" s="13"/>
      <c r="Q10" s="13"/>
      <c r="R10" s="13"/>
      <c r="S10" s="13" t="s">
        <v>215</v>
      </c>
      <c r="T10" s="13"/>
      <c r="U10" s="13"/>
      <c r="V10" s="13" t="s">
        <v>215</v>
      </c>
      <c r="W10" s="13" t="s">
        <v>215</v>
      </c>
      <c r="X10" s="13" t="s">
        <v>215</v>
      </c>
      <c r="Y10" s="13" t="s">
        <v>215</v>
      </c>
      <c r="Z10" s="13" t="s">
        <v>215</v>
      </c>
      <c r="AA10" s="17" t="s">
        <v>215</v>
      </c>
      <c r="AB10" s="13" t="s">
        <v>215</v>
      </c>
      <c r="AC10" s="13"/>
      <c r="AD10" s="13"/>
      <c r="AE10" s="13" t="s">
        <v>215</v>
      </c>
      <c r="AF10" t="s">
        <v>604</v>
      </c>
    </row>
    <row r="11" spans="1:32" ht="36" customHeight="1" x14ac:dyDescent="0.25">
      <c r="A11" s="14" t="s">
        <v>4359</v>
      </c>
      <c r="B11" s="13" t="s">
        <v>215</v>
      </c>
      <c r="C11" s="13"/>
      <c r="D11" s="13" t="s">
        <v>2269</v>
      </c>
      <c r="E11" s="13" t="s">
        <v>215</v>
      </c>
      <c r="F11" s="13" t="s">
        <v>215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215</v>
      </c>
      <c r="AB11" s="13"/>
      <c r="AC11" s="13"/>
      <c r="AD11" s="13" t="s">
        <v>215</v>
      </c>
      <c r="AE11" s="13"/>
      <c r="AF11" t="s">
        <v>4360</v>
      </c>
    </row>
    <row r="12" spans="1:32" ht="36" customHeight="1" x14ac:dyDescent="0.25">
      <c r="A12" s="14" t="s">
        <v>4361</v>
      </c>
      <c r="B12" s="13" t="s">
        <v>215</v>
      </c>
      <c r="C12" s="13"/>
      <c r="D12" s="13"/>
      <c r="E12" s="13"/>
      <c r="F12" s="13"/>
      <c r="G12" s="13"/>
      <c r="H12" s="13"/>
      <c r="I12" s="13"/>
      <c r="J12" s="13" t="s">
        <v>215</v>
      </c>
      <c r="K12" s="13"/>
      <c r="L12" s="13"/>
      <c r="M12" s="13"/>
      <c r="N12" s="13" t="s">
        <v>215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215</v>
      </c>
      <c r="AB12" s="13"/>
      <c r="AC12" s="13"/>
      <c r="AD12" s="13"/>
      <c r="AE12" s="13" t="s">
        <v>215</v>
      </c>
      <c r="AF12" t="s">
        <v>4362</v>
      </c>
    </row>
    <row r="13" spans="1:32" ht="36" customHeight="1" x14ac:dyDescent="0.25">
      <c r="A13" s="14" t="s">
        <v>4363</v>
      </c>
      <c r="B13" s="13" t="s">
        <v>225</v>
      </c>
      <c r="C13" s="13" t="s">
        <v>225</v>
      </c>
      <c r="D13" s="13" t="s">
        <v>225</v>
      </c>
      <c r="E13" s="13" t="s">
        <v>225</v>
      </c>
      <c r="F13" s="13" t="s">
        <v>225</v>
      </c>
      <c r="G13" s="13" t="s">
        <v>225</v>
      </c>
      <c r="H13" s="13" t="s">
        <v>225</v>
      </c>
      <c r="I13" s="13" t="s">
        <v>225</v>
      </c>
      <c r="J13" s="13" t="s">
        <v>215</v>
      </c>
      <c r="K13" s="13" t="s">
        <v>215</v>
      </c>
      <c r="L13" s="13" t="s">
        <v>225</v>
      </c>
      <c r="M13" s="13" t="s">
        <v>225</v>
      </c>
      <c r="N13" s="13" t="s">
        <v>215</v>
      </c>
      <c r="O13" s="13" t="s">
        <v>225</v>
      </c>
      <c r="P13" s="13" t="s">
        <v>225</v>
      </c>
      <c r="Q13" s="13" t="s">
        <v>225</v>
      </c>
      <c r="R13" s="13" t="s">
        <v>225</v>
      </c>
      <c r="S13" s="13" t="s">
        <v>225</v>
      </c>
      <c r="T13" s="13" t="s">
        <v>225</v>
      </c>
      <c r="U13" s="13" t="s">
        <v>225</v>
      </c>
      <c r="V13" s="13" t="s">
        <v>225</v>
      </c>
      <c r="W13" s="13" t="s">
        <v>225</v>
      </c>
      <c r="X13" s="13" t="s">
        <v>225</v>
      </c>
      <c r="Y13" s="13" t="s">
        <v>225</v>
      </c>
      <c r="Z13" s="13" t="s">
        <v>225</v>
      </c>
      <c r="AA13" s="17" t="s">
        <v>225</v>
      </c>
      <c r="AB13" s="13" t="s">
        <v>225</v>
      </c>
      <c r="AC13" s="13" t="s">
        <v>225</v>
      </c>
      <c r="AD13" s="13" t="s">
        <v>225</v>
      </c>
      <c r="AE13" s="13" t="s">
        <v>225</v>
      </c>
      <c r="AF13" t="s">
        <v>4364</v>
      </c>
    </row>
    <row r="14" spans="1:32" ht="36" customHeight="1" x14ac:dyDescent="0.25">
      <c r="A14" s="14" t="s">
        <v>4365</v>
      </c>
      <c r="B14" s="13"/>
      <c r="C14" s="13"/>
      <c r="D14" s="13"/>
      <c r="E14" s="13"/>
      <c r="F14" s="13"/>
      <c r="G14" s="13"/>
      <c r="H14" s="13"/>
      <c r="I14" s="13"/>
      <c r="J14" s="13" t="s">
        <v>215</v>
      </c>
      <c r="K14" s="13" t="s">
        <v>215</v>
      </c>
      <c r="L14" s="13" t="s">
        <v>215</v>
      </c>
      <c r="M14" s="13" t="s">
        <v>215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7" t="s">
        <v>228</v>
      </c>
      <c r="AB14" s="13"/>
      <c r="AC14" s="13"/>
      <c r="AD14" s="13"/>
      <c r="AE14" s="13" t="s">
        <v>215</v>
      </c>
      <c r="AF14" t="s">
        <v>4366</v>
      </c>
    </row>
    <row r="15" spans="1:32" ht="36" customHeight="1" x14ac:dyDescent="0.25">
      <c r="A15" s="14" t="s">
        <v>4367</v>
      </c>
      <c r="B15" s="13" t="s">
        <v>4368</v>
      </c>
      <c r="C15" s="13"/>
      <c r="D15" s="13"/>
      <c r="E15" s="13"/>
      <c r="F15" s="13"/>
      <c r="G15" s="13" t="s">
        <v>4369</v>
      </c>
      <c r="H15" s="13"/>
      <c r="I15" s="13"/>
      <c r="J15" s="13"/>
      <c r="K15" s="13" t="s">
        <v>4370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4314</v>
      </c>
      <c r="AB15" s="13"/>
      <c r="AC15" s="13"/>
      <c r="AD15" s="13"/>
      <c r="AE15" s="13"/>
      <c r="AF15" t="s">
        <v>4371</v>
      </c>
    </row>
    <row r="16" spans="1:32" ht="36" customHeight="1" x14ac:dyDescent="0.25">
      <c r="A16" s="14" t="s">
        <v>4372</v>
      </c>
      <c r="B16" s="13"/>
      <c r="C16" s="13"/>
      <c r="D16" s="13"/>
      <c r="E16" s="13" t="s">
        <v>4373</v>
      </c>
      <c r="F16" s="13"/>
      <c r="G16" s="13" t="s">
        <v>4374</v>
      </c>
      <c r="H16" s="13"/>
      <c r="I16" s="13"/>
      <c r="J16" s="13"/>
      <c r="K16" s="13"/>
      <c r="L16" s="13"/>
      <c r="M16" s="13"/>
      <c r="N16" s="13"/>
      <c r="O16" s="13" t="s">
        <v>4373</v>
      </c>
      <c r="P16" s="13"/>
      <c r="Q16" s="13"/>
      <c r="R16" s="13"/>
      <c r="S16" s="13"/>
      <c r="T16" s="13" t="s">
        <v>4373</v>
      </c>
      <c r="U16" s="13"/>
      <c r="V16" s="13"/>
      <c r="W16" s="13"/>
      <c r="X16" s="13"/>
      <c r="Y16" s="13"/>
      <c r="Z16" s="13" t="s">
        <v>4373</v>
      </c>
      <c r="AA16" s="17" t="s">
        <v>4375</v>
      </c>
      <c r="AB16" s="13" t="s">
        <v>4373</v>
      </c>
      <c r="AC16" s="13"/>
      <c r="AD16" s="13"/>
      <c r="AE16" s="13"/>
      <c r="AF16" t="s">
        <v>4376</v>
      </c>
    </row>
  </sheetData>
  <mergeCells count="1">
    <mergeCell ref="A1:A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20"/>
  <sheetViews>
    <sheetView workbookViewId="0">
      <pane xSplit="2" ySplit="2" topLeftCell="X5" activePane="bottomRight" state="frozen"/>
      <selection pane="topRight" activeCell="C1" sqref="C1"/>
      <selection pane="bottomLeft" activeCell="A3" sqref="A3"/>
      <selection pane="bottomRight" activeCell="AA22" sqref="AA22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Directory'!A1","Pricing Summary — normalized side-by-side view"),"Pricing Summary — normalized side-by-side view")</f>
        <v>Pricing Summary — normalized side-by-side view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36" customHeight="1" x14ac:dyDescent="0.25">
      <c r="A3" s="14" t="s">
        <v>4377</v>
      </c>
      <c r="B3" s="13" t="s">
        <v>215</v>
      </c>
      <c r="C3" s="13" t="s">
        <v>215</v>
      </c>
      <c r="D3" s="13" t="s">
        <v>215</v>
      </c>
      <c r="E3" s="13" t="s">
        <v>215</v>
      </c>
      <c r="F3" s="13" t="s">
        <v>215</v>
      </c>
      <c r="G3" s="13" t="s">
        <v>215</v>
      </c>
      <c r="H3" s="13" t="s">
        <v>215</v>
      </c>
      <c r="I3" s="13" t="s">
        <v>215</v>
      </c>
      <c r="J3" s="13" t="s">
        <v>215</v>
      </c>
      <c r="K3" s="13" t="s">
        <v>215</v>
      </c>
      <c r="L3" s="13" t="s">
        <v>215</v>
      </c>
      <c r="M3" s="13" t="s">
        <v>215</v>
      </c>
      <c r="N3" s="13" t="s">
        <v>215</v>
      </c>
      <c r="O3" s="13" t="s">
        <v>215</v>
      </c>
      <c r="P3" s="13"/>
      <c r="Q3" s="13"/>
      <c r="R3" s="13"/>
      <c r="S3" s="13" t="s">
        <v>215</v>
      </c>
      <c r="T3" s="13"/>
      <c r="U3" s="13"/>
      <c r="V3" s="13" t="s">
        <v>215</v>
      </c>
      <c r="W3" s="13" t="s">
        <v>215</v>
      </c>
      <c r="X3" s="13" t="s">
        <v>215</v>
      </c>
      <c r="Y3" s="13" t="s">
        <v>215</v>
      </c>
      <c r="Z3" s="13" t="s">
        <v>215</v>
      </c>
      <c r="AA3" s="17" t="s">
        <v>215</v>
      </c>
      <c r="AB3" s="13" t="s">
        <v>215</v>
      </c>
      <c r="AC3" s="13"/>
      <c r="AD3" s="13"/>
      <c r="AE3" s="13" t="s">
        <v>215</v>
      </c>
      <c r="AF3" t="s">
        <v>604</v>
      </c>
    </row>
    <row r="4" spans="1:32" ht="36" customHeight="1" x14ac:dyDescent="0.25">
      <c r="A4" s="14" t="s">
        <v>4378</v>
      </c>
      <c r="B4" s="13" t="s">
        <v>606</v>
      </c>
      <c r="C4" s="13" t="s">
        <v>607</v>
      </c>
      <c r="D4" s="13" t="s">
        <v>608</v>
      </c>
      <c r="E4" s="13" t="s">
        <v>609</v>
      </c>
      <c r="F4" s="13" t="s">
        <v>609</v>
      </c>
      <c r="G4" s="13" t="s">
        <v>607</v>
      </c>
      <c r="H4" s="13" t="s">
        <v>607</v>
      </c>
      <c r="I4" s="13" t="s">
        <v>607</v>
      </c>
      <c r="J4" s="13" t="s">
        <v>610</v>
      </c>
      <c r="K4" s="13" t="s">
        <v>611</v>
      </c>
      <c r="L4" s="13" t="s">
        <v>606</v>
      </c>
      <c r="M4" s="13" t="s">
        <v>608</v>
      </c>
      <c r="N4" s="13" t="s">
        <v>606</v>
      </c>
      <c r="O4" s="13" t="s">
        <v>607</v>
      </c>
      <c r="P4" s="13" t="s">
        <v>607</v>
      </c>
      <c r="Q4" s="13" t="s">
        <v>607</v>
      </c>
      <c r="R4" s="13" t="s">
        <v>607</v>
      </c>
      <c r="S4" s="13" t="s">
        <v>607</v>
      </c>
      <c r="T4" s="13" t="s">
        <v>607</v>
      </c>
      <c r="U4" s="13" t="s">
        <v>609</v>
      </c>
      <c r="V4" s="13" t="s">
        <v>607</v>
      </c>
      <c r="W4" s="13" t="s">
        <v>607</v>
      </c>
      <c r="X4" s="13" t="s">
        <v>607</v>
      </c>
      <c r="Y4" s="13" t="s">
        <v>607</v>
      </c>
      <c r="Z4" s="13" t="s">
        <v>607</v>
      </c>
      <c r="AA4" s="17" t="s">
        <v>608</v>
      </c>
      <c r="AB4" s="13" t="s">
        <v>607</v>
      </c>
      <c r="AC4" s="13" t="s">
        <v>607</v>
      </c>
      <c r="AD4" s="13" t="s">
        <v>609</v>
      </c>
      <c r="AE4" s="13" t="s">
        <v>611</v>
      </c>
      <c r="AF4" t="s">
        <v>607</v>
      </c>
    </row>
    <row r="5" spans="1:32" ht="36" customHeight="1" x14ac:dyDescent="0.25">
      <c r="A5" s="14" t="s">
        <v>4379</v>
      </c>
      <c r="B5" s="13" t="s">
        <v>608</v>
      </c>
      <c r="C5" s="13" t="s">
        <v>607</v>
      </c>
      <c r="D5" s="13" t="s">
        <v>607</v>
      </c>
      <c r="E5" s="13" t="s">
        <v>609</v>
      </c>
      <c r="F5" s="13" t="s">
        <v>607</v>
      </c>
      <c r="G5" s="13" t="s">
        <v>607</v>
      </c>
      <c r="H5" s="13" t="s">
        <v>607</v>
      </c>
      <c r="I5" s="13" t="s">
        <v>607</v>
      </c>
      <c r="J5" s="13" t="s">
        <v>608</v>
      </c>
      <c r="K5" s="13" t="s">
        <v>606</v>
      </c>
      <c r="L5" s="13" t="s">
        <v>607</v>
      </c>
      <c r="M5" s="13" t="s">
        <v>607</v>
      </c>
      <c r="N5" s="13" t="s">
        <v>606</v>
      </c>
      <c r="O5" s="13" t="s">
        <v>607</v>
      </c>
      <c r="P5" s="13" t="s">
        <v>607</v>
      </c>
      <c r="Q5" s="13" t="s">
        <v>607</v>
      </c>
      <c r="R5" s="13" t="s">
        <v>607</v>
      </c>
      <c r="S5" s="13" t="s">
        <v>607</v>
      </c>
      <c r="T5" s="13" t="s">
        <v>607</v>
      </c>
      <c r="U5" s="13" t="s">
        <v>607</v>
      </c>
      <c r="V5" s="13" t="s">
        <v>607</v>
      </c>
      <c r="W5" s="13" t="s">
        <v>607</v>
      </c>
      <c r="X5" s="13" t="s">
        <v>607</v>
      </c>
      <c r="Y5" s="13" t="s">
        <v>607</v>
      </c>
      <c r="Z5" s="13" t="s">
        <v>607</v>
      </c>
      <c r="AA5" s="17" t="s">
        <v>608</v>
      </c>
      <c r="AB5" s="13" t="s">
        <v>607</v>
      </c>
      <c r="AC5" s="13" t="s">
        <v>607</v>
      </c>
      <c r="AD5" s="13" t="s">
        <v>607</v>
      </c>
      <c r="AE5" s="13" t="s">
        <v>609</v>
      </c>
      <c r="AF5" t="s">
        <v>607</v>
      </c>
    </row>
    <row r="6" spans="1:32" ht="36" customHeight="1" x14ac:dyDescent="0.25">
      <c r="A6" s="14" t="s">
        <v>4380</v>
      </c>
      <c r="B6" s="13" t="s">
        <v>607</v>
      </c>
      <c r="C6" s="13" t="s">
        <v>607</v>
      </c>
      <c r="D6" s="13" t="s">
        <v>607</v>
      </c>
      <c r="E6" s="13" t="s">
        <v>607</v>
      </c>
      <c r="F6" s="13" t="s">
        <v>607</v>
      </c>
      <c r="G6" s="13" t="s">
        <v>607</v>
      </c>
      <c r="H6" s="13" t="s">
        <v>607</v>
      </c>
      <c r="I6" s="13" t="s">
        <v>607</v>
      </c>
      <c r="J6" s="13" t="s">
        <v>4381</v>
      </c>
      <c r="K6" s="13" t="s">
        <v>609</v>
      </c>
      <c r="L6" s="13" t="s">
        <v>608</v>
      </c>
      <c r="M6" s="13" t="s">
        <v>608</v>
      </c>
      <c r="N6" s="13" t="s">
        <v>607</v>
      </c>
      <c r="O6" s="13" t="s">
        <v>607</v>
      </c>
      <c r="P6" s="13" t="s">
        <v>607</v>
      </c>
      <c r="Q6" s="13" t="s">
        <v>607</v>
      </c>
      <c r="R6" s="13" t="s">
        <v>607</v>
      </c>
      <c r="S6" s="13" t="s">
        <v>607</v>
      </c>
      <c r="T6" s="13" t="s">
        <v>607</v>
      </c>
      <c r="U6" s="13" t="s">
        <v>607</v>
      </c>
      <c r="V6" s="13" t="s">
        <v>607</v>
      </c>
      <c r="W6" s="13" t="s">
        <v>607</v>
      </c>
      <c r="X6" s="13" t="s">
        <v>607</v>
      </c>
      <c r="Y6" s="13" t="s">
        <v>607</v>
      </c>
      <c r="Z6" s="13" t="s">
        <v>607</v>
      </c>
      <c r="AA6" s="17" t="s">
        <v>607</v>
      </c>
      <c r="AB6" s="13" t="s">
        <v>607</v>
      </c>
      <c r="AC6" s="13" t="s">
        <v>607</v>
      </c>
      <c r="AD6" s="13" t="s">
        <v>607</v>
      </c>
      <c r="AE6" s="13" t="s">
        <v>606</v>
      </c>
      <c r="AF6" t="s">
        <v>607</v>
      </c>
    </row>
    <row r="7" spans="1:32" ht="36" customHeight="1" x14ac:dyDescent="0.25">
      <c r="A7" s="14" t="s">
        <v>4382</v>
      </c>
      <c r="B7" s="13" t="s">
        <v>4383</v>
      </c>
      <c r="C7" s="13"/>
      <c r="D7" s="13" t="s">
        <v>4384</v>
      </c>
      <c r="E7" s="13" t="s">
        <v>4384</v>
      </c>
      <c r="F7" s="13"/>
      <c r="G7" s="13"/>
      <c r="H7" s="13"/>
      <c r="I7" s="13"/>
      <c r="J7" s="13" t="s">
        <v>4384</v>
      </c>
      <c r="K7" s="13" t="s">
        <v>4385</v>
      </c>
      <c r="L7" s="13"/>
      <c r="M7" s="13"/>
      <c r="N7" s="13" t="s">
        <v>4386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7" t="s">
        <v>4387</v>
      </c>
      <c r="AB7" s="13"/>
      <c r="AC7" s="13"/>
      <c r="AD7" s="13"/>
      <c r="AE7" s="13" t="s">
        <v>4388</v>
      </c>
      <c r="AF7" t="s">
        <v>2083</v>
      </c>
    </row>
    <row r="8" spans="1:32" ht="36" customHeight="1" x14ac:dyDescent="0.25">
      <c r="A8" s="14" t="s">
        <v>4389</v>
      </c>
      <c r="B8" s="13" t="s">
        <v>4390</v>
      </c>
      <c r="C8" s="13"/>
      <c r="D8" s="13"/>
      <c r="E8" s="13" t="s">
        <v>4391</v>
      </c>
      <c r="F8" s="13"/>
      <c r="G8" s="13"/>
      <c r="H8" s="13"/>
      <c r="I8" s="13"/>
      <c r="J8" s="13" t="s">
        <v>4392</v>
      </c>
      <c r="K8" s="13" t="s">
        <v>4393</v>
      </c>
      <c r="L8" s="13"/>
      <c r="M8" s="13"/>
      <c r="N8" s="13" t="s">
        <v>4394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7" t="s">
        <v>4395</v>
      </c>
      <c r="AB8" s="13"/>
      <c r="AC8" s="13"/>
      <c r="AD8" s="13"/>
      <c r="AE8" s="13"/>
      <c r="AF8" t="s">
        <v>2083</v>
      </c>
    </row>
    <row r="9" spans="1:32" ht="36" customHeight="1" x14ac:dyDescent="0.25">
      <c r="A9" s="14" t="s">
        <v>4396</v>
      </c>
      <c r="B9" s="13" t="s">
        <v>215</v>
      </c>
      <c r="C9" s="13"/>
      <c r="D9" s="13" t="s">
        <v>2269</v>
      </c>
      <c r="E9" s="13" t="s">
        <v>215</v>
      </c>
      <c r="F9" s="13" t="s">
        <v>215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7" t="s">
        <v>215</v>
      </c>
      <c r="AB9" s="13"/>
      <c r="AC9" s="13"/>
      <c r="AD9" s="13" t="s">
        <v>215</v>
      </c>
      <c r="AE9" s="13"/>
      <c r="AF9" t="s">
        <v>4360</v>
      </c>
    </row>
    <row r="10" spans="1:32" ht="36" customHeight="1" x14ac:dyDescent="0.25">
      <c r="A10" s="14" t="s">
        <v>4397</v>
      </c>
      <c r="B10" s="13" t="s">
        <v>215</v>
      </c>
      <c r="C10" s="13"/>
      <c r="D10" s="13"/>
      <c r="E10" s="13"/>
      <c r="F10" s="13"/>
      <c r="G10" s="13"/>
      <c r="H10" s="13"/>
      <c r="I10" s="13"/>
      <c r="J10" s="13" t="s">
        <v>215</v>
      </c>
      <c r="K10" s="13"/>
      <c r="L10" s="13"/>
      <c r="M10" s="13"/>
      <c r="N10" s="13" t="s">
        <v>215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215</v>
      </c>
      <c r="AB10" s="13"/>
      <c r="AC10" s="13"/>
      <c r="AD10" s="13"/>
      <c r="AE10" s="13" t="s">
        <v>215</v>
      </c>
      <c r="AF10" t="s">
        <v>4362</v>
      </c>
    </row>
    <row r="11" spans="1:32" ht="36" customHeight="1" x14ac:dyDescent="0.25">
      <c r="A11" s="14" t="s">
        <v>4398</v>
      </c>
      <c r="B11" s="13" t="s">
        <v>225</v>
      </c>
      <c r="C11" s="13" t="s">
        <v>225</v>
      </c>
      <c r="D11" s="13" t="s">
        <v>225</v>
      </c>
      <c r="E11" s="13" t="s">
        <v>225</v>
      </c>
      <c r="F11" s="13" t="s">
        <v>225</v>
      </c>
      <c r="G11" s="13" t="s">
        <v>225</v>
      </c>
      <c r="H11" s="13" t="s">
        <v>225</v>
      </c>
      <c r="I11" s="13" t="s">
        <v>225</v>
      </c>
      <c r="J11" s="13" t="s">
        <v>215</v>
      </c>
      <c r="K11" s="13" t="s">
        <v>215</v>
      </c>
      <c r="L11" s="13" t="s">
        <v>225</v>
      </c>
      <c r="M11" s="13" t="s">
        <v>225</v>
      </c>
      <c r="N11" s="13" t="s">
        <v>215</v>
      </c>
      <c r="O11" s="13" t="s">
        <v>225</v>
      </c>
      <c r="P11" s="13" t="s">
        <v>225</v>
      </c>
      <c r="Q11" s="13" t="s">
        <v>225</v>
      </c>
      <c r="R11" s="13" t="s">
        <v>225</v>
      </c>
      <c r="S11" s="13" t="s">
        <v>225</v>
      </c>
      <c r="T11" s="13" t="s">
        <v>225</v>
      </c>
      <c r="U11" s="13" t="s">
        <v>225</v>
      </c>
      <c r="V11" s="13" t="s">
        <v>225</v>
      </c>
      <c r="W11" s="13" t="s">
        <v>225</v>
      </c>
      <c r="X11" s="13" t="s">
        <v>225</v>
      </c>
      <c r="Y11" s="13" t="s">
        <v>225</v>
      </c>
      <c r="Z11" s="13" t="s">
        <v>225</v>
      </c>
      <c r="AA11" s="17" t="s">
        <v>225</v>
      </c>
      <c r="AB11" s="13" t="s">
        <v>225</v>
      </c>
      <c r="AC11" s="13" t="s">
        <v>225</v>
      </c>
      <c r="AD11" s="13" t="s">
        <v>225</v>
      </c>
      <c r="AE11" s="13" t="s">
        <v>225</v>
      </c>
      <c r="AF11" t="s">
        <v>4364</v>
      </c>
    </row>
    <row r="12" spans="1:32" ht="36" customHeight="1" x14ac:dyDescent="0.25">
      <c r="A12" s="14" t="s">
        <v>4399</v>
      </c>
      <c r="B12" s="13"/>
      <c r="C12" s="13"/>
      <c r="D12" s="13"/>
      <c r="E12" s="13"/>
      <c r="F12" s="13"/>
      <c r="G12" s="13"/>
      <c r="H12" s="13"/>
      <c r="I12" s="13"/>
      <c r="J12" s="13" t="s">
        <v>215</v>
      </c>
      <c r="K12" s="13" t="s">
        <v>215</v>
      </c>
      <c r="L12" s="13" t="s">
        <v>215</v>
      </c>
      <c r="M12" s="13" t="s">
        <v>215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7" t="s">
        <v>225</v>
      </c>
      <c r="AB12" s="13"/>
      <c r="AC12" s="13"/>
      <c r="AD12" s="13"/>
      <c r="AE12" s="13" t="s">
        <v>215</v>
      </c>
      <c r="AF12" t="s">
        <v>4366</v>
      </c>
    </row>
    <row r="13" spans="1:32" ht="36" customHeight="1" x14ac:dyDescent="0.25">
      <c r="A13" s="14" t="s">
        <v>4400</v>
      </c>
      <c r="B13" s="13" t="s">
        <v>685</v>
      </c>
      <c r="C13" s="13"/>
      <c r="D13" s="13" t="s">
        <v>686</v>
      </c>
      <c r="E13" s="13" t="s">
        <v>687</v>
      </c>
      <c r="F13" s="13" t="s">
        <v>687</v>
      </c>
      <c r="G13" s="13"/>
      <c r="H13" s="13"/>
      <c r="I13" s="13"/>
      <c r="J13" s="13" t="s">
        <v>690</v>
      </c>
      <c r="K13" s="13" t="s">
        <v>691</v>
      </c>
      <c r="L13" s="13" t="s">
        <v>692</v>
      </c>
      <c r="M13" s="13" t="s">
        <v>693</v>
      </c>
      <c r="N13" s="13" t="s">
        <v>694</v>
      </c>
      <c r="O13" s="13"/>
      <c r="P13" s="13"/>
      <c r="Q13" s="13"/>
      <c r="R13" s="13"/>
      <c r="S13" s="13"/>
      <c r="T13" s="13"/>
      <c r="U13" s="13" t="s">
        <v>699</v>
      </c>
      <c r="V13" s="13"/>
      <c r="W13" s="13"/>
      <c r="X13" s="13"/>
      <c r="Y13" s="13"/>
      <c r="Z13" s="13"/>
      <c r="AA13" s="17" t="s">
        <v>705</v>
      </c>
      <c r="AB13" s="13"/>
      <c r="AC13" s="13"/>
      <c r="AD13" s="13" t="s">
        <v>708</v>
      </c>
      <c r="AE13" s="13" t="s">
        <v>709</v>
      </c>
      <c r="AF13" t="s">
        <v>4401</v>
      </c>
    </row>
    <row r="14" spans="1:32" ht="36" customHeight="1" x14ac:dyDescent="0.25">
      <c r="A14" s="14" t="s">
        <v>4402</v>
      </c>
      <c r="B14" s="13" t="s">
        <v>613</v>
      </c>
      <c r="C14" s="13" t="s">
        <v>614</v>
      </c>
      <c r="D14" s="13" t="s">
        <v>615</v>
      </c>
      <c r="E14" s="13" t="s">
        <v>616</v>
      </c>
      <c r="F14" s="13" t="s">
        <v>617</v>
      </c>
      <c r="G14" s="13" t="s">
        <v>614</v>
      </c>
      <c r="H14" s="13" t="s">
        <v>614</v>
      </c>
      <c r="I14" s="13" t="s">
        <v>614</v>
      </c>
      <c r="J14" s="13" t="s">
        <v>618</v>
      </c>
      <c r="K14" s="13" t="s">
        <v>619</v>
      </c>
      <c r="L14" s="13" t="s">
        <v>620</v>
      </c>
      <c r="M14" s="13" t="s">
        <v>621</v>
      </c>
      <c r="N14" s="13" t="s">
        <v>622</v>
      </c>
      <c r="O14" s="13" t="s">
        <v>614</v>
      </c>
      <c r="P14" s="13" t="s">
        <v>614</v>
      </c>
      <c r="Q14" s="13" t="s">
        <v>614</v>
      </c>
      <c r="R14" s="13" t="s">
        <v>614</v>
      </c>
      <c r="S14" s="13" t="s">
        <v>614</v>
      </c>
      <c r="T14" s="13" t="s">
        <v>614</v>
      </c>
      <c r="U14" s="13" t="s">
        <v>623</v>
      </c>
      <c r="V14" s="13" t="s">
        <v>614</v>
      </c>
      <c r="W14" s="13" t="s">
        <v>614</v>
      </c>
      <c r="X14" s="13" t="s">
        <v>614</v>
      </c>
      <c r="Y14" s="13" t="s">
        <v>614</v>
      </c>
      <c r="Z14" s="13" t="s">
        <v>614</v>
      </c>
      <c r="AA14" s="17" t="s">
        <v>624</v>
      </c>
      <c r="AB14" s="13" t="s">
        <v>614</v>
      </c>
      <c r="AC14" s="13" t="s">
        <v>614</v>
      </c>
      <c r="AD14" s="13" t="s">
        <v>625</v>
      </c>
      <c r="AE14" s="13" t="s">
        <v>626</v>
      </c>
      <c r="AF14" t="s">
        <v>276</v>
      </c>
    </row>
    <row r="15" spans="1:32" ht="36" customHeight="1" x14ac:dyDescent="0.25">
      <c r="A15" s="14" t="s">
        <v>4403</v>
      </c>
      <c r="B15" s="13" t="s">
        <v>4404</v>
      </c>
      <c r="C15" s="13"/>
      <c r="D15" s="13" t="s">
        <v>4405</v>
      </c>
      <c r="E15" s="13" t="s">
        <v>1626</v>
      </c>
      <c r="F15" s="13" t="s">
        <v>1959</v>
      </c>
      <c r="G15" s="13"/>
      <c r="H15" s="13"/>
      <c r="I15" s="13"/>
      <c r="J15" s="13" t="s">
        <v>4406</v>
      </c>
      <c r="K15" s="13" t="s">
        <v>2139</v>
      </c>
      <c r="L15" s="13" t="s">
        <v>4407</v>
      </c>
      <c r="M15" s="13" t="s">
        <v>4408</v>
      </c>
      <c r="N15" s="13" t="s">
        <v>4409</v>
      </c>
      <c r="O15" s="13"/>
      <c r="P15" s="13"/>
      <c r="Q15" s="13"/>
      <c r="R15" s="13"/>
      <c r="S15" s="13"/>
      <c r="T15" s="13"/>
      <c r="U15" s="13" t="s">
        <v>4410</v>
      </c>
      <c r="V15" s="13"/>
      <c r="W15" s="13"/>
      <c r="X15" s="13"/>
      <c r="Y15" s="13"/>
      <c r="Z15" s="13"/>
      <c r="AA15" s="17" t="s">
        <v>1630</v>
      </c>
      <c r="AB15" s="13"/>
      <c r="AC15" s="13"/>
      <c r="AD15" s="13" t="s">
        <v>4411</v>
      </c>
      <c r="AE15" s="13" t="s">
        <v>1631</v>
      </c>
      <c r="AF15" t="s">
        <v>4412</v>
      </c>
    </row>
    <row r="16" spans="1:32" ht="23.1" customHeight="1" x14ac:dyDescent="0.25">
      <c r="A16" s="15" t="s">
        <v>4413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5"/>
      <c r="AC16" s="15"/>
      <c r="AD16" s="15"/>
      <c r="AE16" s="15"/>
    </row>
    <row r="17" spans="1:32" ht="36" customHeight="1" x14ac:dyDescent="0.25">
      <c r="A17" s="14" t="s">
        <v>4414</v>
      </c>
      <c r="B17" s="13" t="s">
        <v>4368</v>
      </c>
      <c r="C17" s="13"/>
      <c r="D17" s="13"/>
      <c r="E17" s="13"/>
      <c r="F17" s="13"/>
      <c r="G17" s="13" t="s">
        <v>4415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4314</v>
      </c>
      <c r="AB17" s="13"/>
      <c r="AC17" s="13"/>
      <c r="AD17" s="13"/>
      <c r="AE17" s="13"/>
      <c r="AF17" t="s">
        <v>4371</v>
      </c>
    </row>
    <row r="18" spans="1:32" ht="36" customHeight="1" x14ac:dyDescent="0.25">
      <c r="A18" s="14" t="s">
        <v>4416</v>
      </c>
      <c r="B18" s="13"/>
      <c r="C18" s="13"/>
      <c r="D18" s="13"/>
      <c r="E18" s="13" t="s">
        <v>215</v>
      </c>
      <c r="F18" s="13"/>
      <c r="G18" s="13" t="s">
        <v>4417</v>
      </c>
      <c r="H18" s="13"/>
      <c r="I18" s="13"/>
      <c r="J18" s="13"/>
      <c r="K18" s="13"/>
      <c r="L18" s="13"/>
      <c r="M18" s="13"/>
      <c r="N18" s="13"/>
      <c r="O18" s="13" t="s">
        <v>215</v>
      </c>
      <c r="P18" s="13"/>
      <c r="Q18" s="13"/>
      <c r="R18" s="13"/>
      <c r="S18" s="13"/>
      <c r="T18" s="13" t="s">
        <v>215</v>
      </c>
      <c r="U18" s="13"/>
      <c r="V18" s="13"/>
      <c r="W18" s="13"/>
      <c r="X18" s="13"/>
      <c r="Y18" s="13"/>
      <c r="Z18" s="13" t="s">
        <v>215</v>
      </c>
      <c r="AA18" s="17" t="s">
        <v>225</v>
      </c>
      <c r="AB18" s="13" t="s">
        <v>215</v>
      </c>
      <c r="AC18" s="13"/>
      <c r="AD18" s="13"/>
      <c r="AE18" s="13"/>
      <c r="AF18" t="s">
        <v>4376</v>
      </c>
    </row>
    <row r="19" spans="1:32" ht="36" customHeight="1" x14ac:dyDescent="0.25">
      <c r="A19" s="14" t="s">
        <v>4418</v>
      </c>
      <c r="B19" s="13" t="s">
        <v>4419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 t="s">
        <v>4420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225</v>
      </c>
      <c r="AB19" s="13"/>
      <c r="AC19" s="13"/>
      <c r="AD19" s="13"/>
      <c r="AE19" s="13"/>
      <c r="AF19" t="s">
        <v>4421</v>
      </c>
    </row>
    <row r="20" spans="1:32" ht="36" customHeight="1" x14ac:dyDescent="0.25">
      <c r="A20" s="14" t="s">
        <v>4422</v>
      </c>
      <c r="B20" s="13"/>
      <c r="C20" s="13" t="s">
        <v>215</v>
      </c>
      <c r="D20" s="13"/>
      <c r="E20" s="13"/>
      <c r="F20" s="13"/>
      <c r="G20" s="13" t="s">
        <v>215</v>
      </c>
      <c r="H20" s="13" t="s">
        <v>215</v>
      </c>
      <c r="I20" s="13" t="s">
        <v>215</v>
      </c>
      <c r="J20" s="13"/>
      <c r="K20" s="13" t="s">
        <v>215</v>
      </c>
      <c r="L20" s="13" t="s">
        <v>4423</v>
      </c>
      <c r="M20" s="13" t="s">
        <v>4424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7" t="s">
        <v>2333</v>
      </c>
      <c r="AB20" s="13"/>
      <c r="AC20" s="13"/>
      <c r="AD20" s="13"/>
      <c r="AE20" s="13"/>
      <c r="AF20" t="s">
        <v>4425</v>
      </c>
    </row>
  </sheetData>
  <mergeCells count="1">
    <mergeCell ref="A1:AF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64"/>
  <sheetViews>
    <sheetView workbookViewId="0">
      <pane xSplit="2" ySplit="2" topLeftCell="D48" activePane="bottomRight" state="frozen"/>
      <selection pane="topRight" activeCell="C1" sqref="C1"/>
      <selection pane="bottomLeft" activeCell="A3" sqref="A3"/>
      <selection pane="bottomRight" activeCell="G56" sqref="G56"/>
    </sheetView>
  </sheetViews>
  <sheetFormatPr defaultRowHeight="15" x14ac:dyDescent="0.25"/>
  <cols>
    <col min="1" max="32" width="20" customWidth="1"/>
  </cols>
  <sheetData>
    <row r="1" spans="1:32" ht="27.95" customHeight="1" x14ac:dyDescent="0.3">
      <c r="A1" s="28" t="str">
        <f>IFERROR(HYPERLINK("#'Sheet Directory'!A1","Paid Options &amp; Tiers — one purchasable option per row"),"Paid Options &amp; Tiers — one purchasable option per row")</f>
        <v>Paid Options &amp; Tiers — one purchasable option per row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4426</v>
      </c>
      <c r="B2" s="11" t="s">
        <v>4427</v>
      </c>
      <c r="C2" s="11" t="s">
        <v>4428</v>
      </c>
      <c r="D2" s="11" t="s">
        <v>4429</v>
      </c>
      <c r="E2" s="11" t="s">
        <v>4430</v>
      </c>
      <c r="F2" s="11" t="s">
        <v>4431</v>
      </c>
      <c r="G2" s="11" t="s">
        <v>4432</v>
      </c>
      <c r="H2" s="11" t="s">
        <v>4433</v>
      </c>
      <c r="I2" s="11" t="s">
        <v>4434</v>
      </c>
      <c r="J2" s="11" t="s">
        <v>4435</v>
      </c>
      <c r="K2" s="11" t="s">
        <v>4436</v>
      </c>
      <c r="L2" s="11" t="s">
        <v>4437</v>
      </c>
      <c r="M2" s="11" t="s">
        <v>4438</v>
      </c>
      <c r="N2" s="11" t="s">
        <v>4439</v>
      </c>
      <c r="O2" s="11" t="s">
        <v>4440</v>
      </c>
      <c r="P2" s="11" t="s">
        <v>4441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75" x14ac:dyDescent="0.25">
      <c r="A3" s="2" t="s">
        <v>70</v>
      </c>
      <c r="B3" s="2" t="s">
        <v>4442</v>
      </c>
      <c r="C3" s="2" t="s">
        <v>4443</v>
      </c>
      <c r="D3" s="2" t="s">
        <v>1079</v>
      </c>
      <c r="E3" s="2" t="s">
        <v>4444</v>
      </c>
      <c r="F3" s="2" t="s">
        <v>228</v>
      </c>
      <c r="G3" s="2" t="s">
        <v>4445</v>
      </c>
      <c r="H3" s="2" t="s">
        <v>4446</v>
      </c>
      <c r="I3" s="2" t="s">
        <v>687</v>
      </c>
      <c r="J3" s="2" t="s">
        <v>4447</v>
      </c>
      <c r="K3" s="2" t="s">
        <v>228</v>
      </c>
      <c r="L3" s="2" t="s">
        <v>4448</v>
      </c>
      <c r="M3" s="2" t="s">
        <v>4404</v>
      </c>
      <c r="N3" s="2" t="s">
        <v>919</v>
      </c>
      <c r="O3" s="2" t="s">
        <v>4449</v>
      </c>
      <c r="P3" s="2" t="s">
        <v>4450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75" x14ac:dyDescent="0.25">
      <c r="A4" s="2" t="s">
        <v>70</v>
      </c>
      <c r="B4" s="2" t="s">
        <v>4442</v>
      </c>
      <c r="C4" s="2" t="s">
        <v>1950</v>
      </c>
      <c r="D4" s="2" t="s">
        <v>1079</v>
      </c>
      <c r="E4" s="2" t="s">
        <v>4451</v>
      </c>
      <c r="F4" s="2" t="s">
        <v>228</v>
      </c>
      <c r="G4" s="2" t="s">
        <v>4452</v>
      </c>
      <c r="H4" s="2" t="s">
        <v>4446</v>
      </c>
      <c r="I4" s="2" t="s">
        <v>687</v>
      </c>
      <c r="J4" s="2" t="s">
        <v>4447</v>
      </c>
      <c r="K4" s="2" t="s">
        <v>4453</v>
      </c>
      <c r="L4" s="2" t="s">
        <v>4454</v>
      </c>
      <c r="M4" s="2" t="s">
        <v>4404</v>
      </c>
      <c r="N4" s="2" t="s">
        <v>919</v>
      </c>
      <c r="O4" s="2" t="s">
        <v>4455</v>
      </c>
      <c r="P4" s="2" t="s">
        <v>4450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75" x14ac:dyDescent="0.25">
      <c r="A5" s="2" t="s">
        <v>70</v>
      </c>
      <c r="B5" s="2" t="s">
        <v>4456</v>
      </c>
      <c r="C5" s="2" t="s">
        <v>4457</v>
      </c>
      <c r="D5" s="2" t="s">
        <v>1079</v>
      </c>
      <c r="E5" s="2" t="s">
        <v>4458</v>
      </c>
      <c r="F5" s="2" t="s">
        <v>228</v>
      </c>
      <c r="G5" s="2" t="s">
        <v>4459</v>
      </c>
      <c r="H5" s="2" t="s">
        <v>4446</v>
      </c>
      <c r="I5" s="2" t="s">
        <v>4460</v>
      </c>
      <c r="J5" s="2" t="s">
        <v>4461</v>
      </c>
      <c r="K5" s="2" t="s">
        <v>4462</v>
      </c>
      <c r="L5" s="2" t="s">
        <v>4463</v>
      </c>
      <c r="M5" s="2" t="s">
        <v>4404</v>
      </c>
      <c r="N5" s="2" t="s">
        <v>919</v>
      </c>
      <c r="O5" s="2" t="s">
        <v>4464</v>
      </c>
      <c r="P5" s="2" t="s">
        <v>4450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75" x14ac:dyDescent="0.25">
      <c r="A6" s="2" t="s">
        <v>70</v>
      </c>
      <c r="B6" s="2" t="s">
        <v>4465</v>
      </c>
      <c r="C6" s="2" t="s">
        <v>4466</v>
      </c>
      <c r="D6" s="2" t="s">
        <v>4467</v>
      </c>
      <c r="E6" s="2" t="s">
        <v>4458</v>
      </c>
      <c r="F6" s="2" t="s">
        <v>228</v>
      </c>
      <c r="G6" s="2" t="s">
        <v>4459</v>
      </c>
      <c r="H6" s="2" t="s">
        <v>4446</v>
      </c>
      <c r="I6" s="2" t="s">
        <v>687</v>
      </c>
      <c r="J6" s="2" t="s">
        <v>4447</v>
      </c>
      <c r="K6" s="2" t="s">
        <v>228</v>
      </c>
      <c r="L6" s="2" t="s">
        <v>4468</v>
      </c>
      <c r="M6" s="2" t="s">
        <v>4404</v>
      </c>
      <c r="N6" s="2" t="s">
        <v>919</v>
      </c>
      <c r="O6" s="2" t="s">
        <v>4469</v>
      </c>
      <c r="P6" s="2" t="s">
        <v>4450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45" x14ac:dyDescent="0.25">
      <c r="A7" s="2" t="s">
        <v>71</v>
      </c>
      <c r="B7" s="2" t="s">
        <v>4470</v>
      </c>
      <c r="C7" s="2" t="s">
        <v>4471</v>
      </c>
      <c r="D7" s="2" t="s">
        <v>287</v>
      </c>
      <c r="E7" s="2" t="s">
        <v>228</v>
      </c>
      <c r="F7" s="2" t="s">
        <v>228</v>
      </c>
      <c r="G7" s="2" t="s">
        <v>228</v>
      </c>
      <c r="H7" s="2" t="s">
        <v>228</v>
      </c>
      <c r="I7" s="2" t="s">
        <v>228</v>
      </c>
      <c r="J7" s="2" t="s">
        <v>228</v>
      </c>
      <c r="K7" s="2" t="s">
        <v>228</v>
      </c>
      <c r="L7" s="2" t="s">
        <v>228</v>
      </c>
      <c r="M7" s="2" t="s">
        <v>4472</v>
      </c>
      <c r="N7" s="2" t="s">
        <v>919</v>
      </c>
      <c r="O7" s="2" t="s">
        <v>4473</v>
      </c>
      <c r="P7" s="2" t="s">
        <v>4450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45" x14ac:dyDescent="0.25">
      <c r="A8" s="2" t="s">
        <v>72</v>
      </c>
      <c r="B8" s="2" t="s">
        <v>4474</v>
      </c>
      <c r="C8" s="2" t="s">
        <v>4475</v>
      </c>
      <c r="D8" s="2" t="s">
        <v>4476</v>
      </c>
      <c r="E8" s="2" t="s">
        <v>4458</v>
      </c>
      <c r="F8" s="2" t="s">
        <v>228</v>
      </c>
      <c r="G8" s="2" t="s">
        <v>866</v>
      </c>
      <c r="H8" s="2" t="s">
        <v>4446</v>
      </c>
      <c r="I8" s="2" t="s">
        <v>686</v>
      </c>
      <c r="J8" s="2" t="s">
        <v>4477</v>
      </c>
      <c r="K8" s="2" t="s">
        <v>228</v>
      </c>
      <c r="L8" s="2" t="s">
        <v>4478</v>
      </c>
      <c r="M8" s="2" t="s">
        <v>4405</v>
      </c>
      <c r="N8" s="2" t="s">
        <v>919</v>
      </c>
      <c r="O8" s="2" t="s">
        <v>4479</v>
      </c>
      <c r="P8" s="2" t="s">
        <v>4450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45" x14ac:dyDescent="0.25">
      <c r="A9" s="2" t="s">
        <v>72</v>
      </c>
      <c r="B9" s="2" t="s">
        <v>4474</v>
      </c>
      <c r="C9" s="2" t="s">
        <v>4480</v>
      </c>
      <c r="D9" s="2" t="s">
        <v>4476</v>
      </c>
      <c r="E9" s="2" t="s">
        <v>4451</v>
      </c>
      <c r="F9" s="2" t="s">
        <v>228</v>
      </c>
      <c r="G9" s="2" t="s">
        <v>866</v>
      </c>
      <c r="H9" s="2" t="s">
        <v>4446</v>
      </c>
      <c r="I9" s="2" t="s">
        <v>686</v>
      </c>
      <c r="J9" s="2" t="s">
        <v>4477</v>
      </c>
      <c r="K9" s="2" t="s">
        <v>228</v>
      </c>
      <c r="L9" s="2" t="s">
        <v>4481</v>
      </c>
      <c r="M9" s="2" t="s">
        <v>4405</v>
      </c>
      <c r="N9" s="2" t="s">
        <v>919</v>
      </c>
      <c r="O9" s="2" t="s">
        <v>4479</v>
      </c>
      <c r="P9" s="2" t="s">
        <v>4450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45" x14ac:dyDescent="0.25">
      <c r="A10" s="2" t="s">
        <v>72</v>
      </c>
      <c r="B10" s="2" t="s">
        <v>4474</v>
      </c>
      <c r="C10" s="2" t="s">
        <v>4482</v>
      </c>
      <c r="D10" s="2" t="s">
        <v>4476</v>
      </c>
      <c r="E10" s="2" t="s">
        <v>4483</v>
      </c>
      <c r="F10" s="2" t="s">
        <v>228</v>
      </c>
      <c r="G10" s="2" t="s">
        <v>866</v>
      </c>
      <c r="H10" s="2" t="s">
        <v>4446</v>
      </c>
      <c r="I10" s="2" t="s">
        <v>686</v>
      </c>
      <c r="J10" s="2" t="s">
        <v>4477</v>
      </c>
      <c r="K10" s="2" t="s">
        <v>228</v>
      </c>
      <c r="L10" s="2" t="s">
        <v>4484</v>
      </c>
      <c r="M10" s="2" t="s">
        <v>4405</v>
      </c>
      <c r="N10" s="2" t="s">
        <v>919</v>
      </c>
      <c r="O10" s="2" t="s">
        <v>4479</v>
      </c>
      <c r="P10" s="2" t="s">
        <v>4450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90" x14ac:dyDescent="0.25">
      <c r="A11" s="2" t="s">
        <v>73</v>
      </c>
      <c r="B11" s="2" t="s">
        <v>4442</v>
      </c>
      <c r="C11" s="2" t="s">
        <v>616</v>
      </c>
      <c r="D11" s="2" t="s">
        <v>1079</v>
      </c>
      <c r="E11" s="2" t="s">
        <v>4458</v>
      </c>
      <c r="F11" s="2" t="s">
        <v>228</v>
      </c>
      <c r="G11" s="2" t="s">
        <v>4459</v>
      </c>
      <c r="H11" s="2" t="s">
        <v>4446</v>
      </c>
      <c r="I11" s="2" t="s">
        <v>687</v>
      </c>
      <c r="J11" s="2" t="s">
        <v>4447</v>
      </c>
      <c r="K11" s="2" t="s">
        <v>228</v>
      </c>
      <c r="L11" s="2" t="s">
        <v>4485</v>
      </c>
      <c r="M11" s="2" t="s">
        <v>1626</v>
      </c>
      <c r="N11" s="2" t="s">
        <v>919</v>
      </c>
      <c r="O11" s="2" t="s">
        <v>4486</v>
      </c>
      <c r="P11" s="2" t="s">
        <v>4450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90" x14ac:dyDescent="0.25">
      <c r="A12" s="2" t="s">
        <v>74</v>
      </c>
      <c r="B12" s="2" t="s">
        <v>4442</v>
      </c>
      <c r="C12" s="2" t="s">
        <v>617</v>
      </c>
      <c r="D12" s="2" t="s">
        <v>1079</v>
      </c>
      <c r="E12" s="2" t="s">
        <v>866</v>
      </c>
      <c r="F12" s="2" t="s">
        <v>228</v>
      </c>
      <c r="G12" s="2" t="s">
        <v>866</v>
      </c>
      <c r="H12" s="2" t="s">
        <v>4487</v>
      </c>
      <c r="I12" s="2" t="s">
        <v>687</v>
      </c>
      <c r="J12" s="2" t="s">
        <v>4447</v>
      </c>
      <c r="K12" s="2" t="s">
        <v>4488</v>
      </c>
      <c r="L12" s="2" t="s">
        <v>4489</v>
      </c>
      <c r="M12" s="2" t="s">
        <v>1959</v>
      </c>
      <c r="N12" s="2" t="s">
        <v>919</v>
      </c>
      <c r="O12" s="2" t="s">
        <v>4490</v>
      </c>
      <c r="P12" s="2" t="s">
        <v>4450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75" x14ac:dyDescent="0.25">
      <c r="A13" s="2" t="s">
        <v>75</v>
      </c>
      <c r="B13" s="2" t="s">
        <v>4491</v>
      </c>
      <c r="C13" s="2" t="s">
        <v>4492</v>
      </c>
      <c r="D13" s="2" t="s">
        <v>4208</v>
      </c>
      <c r="E13" s="2" t="s">
        <v>228</v>
      </c>
      <c r="F13" s="2" t="s">
        <v>228</v>
      </c>
      <c r="G13" s="2" t="s">
        <v>228</v>
      </c>
      <c r="H13" s="2" t="s">
        <v>4208</v>
      </c>
      <c r="I13" s="2" t="s">
        <v>4208</v>
      </c>
      <c r="J13" s="2" t="s">
        <v>4493</v>
      </c>
      <c r="K13" s="2" t="s">
        <v>228</v>
      </c>
      <c r="L13" s="2" t="s">
        <v>4494</v>
      </c>
      <c r="M13" s="2" t="s">
        <v>4495</v>
      </c>
      <c r="N13" s="2" t="s">
        <v>919</v>
      </c>
      <c r="O13" s="2" t="s">
        <v>4496</v>
      </c>
      <c r="P13" s="2" t="s">
        <v>4450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60" x14ac:dyDescent="0.25">
      <c r="A14" s="2" t="s">
        <v>76</v>
      </c>
      <c r="B14" s="2" t="s">
        <v>4470</v>
      </c>
      <c r="C14" s="2" t="s">
        <v>4497</v>
      </c>
      <c r="D14" s="2" t="s">
        <v>276</v>
      </c>
      <c r="E14" s="2" t="s">
        <v>228</v>
      </c>
      <c r="F14" s="2" t="s">
        <v>228</v>
      </c>
      <c r="G14" s="2" t="s">
        <v>228</v>
      </c>
      <c r="H14" s="2" t="s">
        <v>228</v>
      </c>
      <c r="I14" s="2" t="s">
        <v>4498</v>
      </c>
      <c r="J14" s="2" t="s">
        <v>4499</v>
      </c>
      <c r="K14" s="2" t="s">
        <v>228</v>
      </c>
      <c r="L14" s="2" t="s">
        <v>4500</v>
      </c>
      <c r="M14" s="2" t="s">
        <v>764</v>
      </c>
      <c r="N14" s="2" t="s">
        <v>919</v>
      </c>
      <c r="O14" s="2" t="s">
        <v>4501</v>
      </c>
      <c r="P14" s="2" t="s">
        <v>4450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60" x14ac:dyDescent="0.25">
      <c r="A15" s="2" t="s">
        <v>77</v>
      </c>
      <c r="B15" s="2" t="s">
        <v>4502</v>
      </c>
      <c r="C15" s="2" t="s">
        <v>4503</v>
      </c>
      <c r="D15" s="2" t="s">
        <v>276</v>
      </c>
      <c r="E15" s="2" t="s">
        <v>228</v>
      </c>
      <c r="F15" s="2" t="s">
        <v>228</v>
      </c>
      <c r="G15" s="2" t="s">
        <v>228</v>
      </c>
      <c r="H15" s="2" t="s">
        <v>228</v>
      </c>
      <c r="I15" s="2" t="s">
        <v>4504</v>
      </c>
      <c r="J15" s="2" t="s">
        <v>4499</v>
      </c>
      <c r="K15" s="2" t="s">
        <v>228</v>
      </c>
      <c r="L15" s="2" t="s">
        <v>4505</v>
      </c>
      <c r="M15" s="2" t="s">
        <v>765</v>
      </c>
      <c r="N15" s="2" t="s">
        <v>919</v>
      </c>
      <c r="O15" s="2" t="s">
        <v>4506</v>
      </c>
      <c r="P15" s="2" t="s">
        <v>4450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75" x14ac:dyDescent="0.25">
      <c r="A16" s="2" t="s">
        <v>78</v>
      </c>
      <c r="B16" s="2" t="s">
        <v>4507</v>
      </c>
      <c r="C16" s="2" t="s">
        <v>4508</v>
      </c>
      <c r="D16" s="2" t="s">
        <v>1079</v>
      </c>
      <c r="E16" s="2" t="s">
        <v>4458</v>
      </c>
      <c r="F16" s="2" t="s">
        <v>228</v>
      </c>
      <c r="G16" s="2" t="s">
        <v>4509</v>
      </c>
      <c r="H16" s="2" t="s">
        <v>4446</v>
      </c>
      <c r="I16" s="2" t="s">
        <v>4510</v>
      </c>
      <c r="J16" s="2" t="s">
        <v>4511</v>
      </c>
      <c r="K16" s="2" t="s">
        <v>228</v>
      </c>
      <c r="L16" s="2" t="s">
        <v>4512</v>
      </c>
      <c r="M16" s="2" t="s">
        <v>1627</v>
      </c>
      <c r="N16" s="2" t="s">
        <v>919</v>
      </c>
      <c r="O16" s="2" t="s">
        <v>4513</v>
      </c>
      <c r="P16" s="2" t="s">
        <v>4450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75" x14ac:dyDescent="0.25">
      <c r="A17" s="2" t="s">
        <v>78</v>
      </c>
      <c r="B17" s="2" t="s">
        <v>4507</v>
      </c>
      <c r="C17" s="2" t="s">
        <v>4514</v>
      </c>
      <c r="D17" s="2" t="s">
        <v>1079</v>
      </c>
      <c r="E17" s="2" t="s">
        <v>4515</v>
      </c>
      <c r="F17" s="2" t="s">
        <v>228</v>
      </c>
      <c r="G17" s="2" t="s">
        <v>4516</v>
      </c>
      <c r="H17" s="2" t="s">
        <v>4446</v>
      </c>
      <c r="I17" s="2" t="s">
        <v>4510</v>
      </c>
      <c r="J17" s="2" t="s">
        <v>4511</v>
      </c>
      <c r="K17" s="2" t="s">
        <v>228</v>
      </c>
      <c r="L17" s="2" t="s">
        <v>4517</v>
      </c>
      <c r="M17" s="2" t="s">
        <v>1627</v>
      </c>
      <c r="N17" s="2" t="s">
        <v>919</v>
      </c>
      <c r="O17" s="2" t="s">
        <v>4513</v>
      </c>
      <c r="P17" s="2" t="s">
        <v>4450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75" x14ac:dyDescent="0.25">
      <c r="A18" s="2" t="s">
        <v>78</v>
      </c>
      <c r="B18" s="2" t="s">
        <v>4507</v>
      </c>
      <c r="C18" s="2" t="s">
        <v>4518</v>
      </c>
      <c r="D18" s="2" t="s">
        <v>1079</v>
      </c>
      <c r="E18" s="2" t="s">
        <v>4519</v>
      </c>
      <c r="F18" s="2" t="s">
        <v>228</v>
      </c>
      <c r="G18" s="2" t="s">
        <v>4520</v>
      </c>
      <c r="H18" s="2" t="s">
        <v>4446</v>
      </c>
      <c r="I18" s="2" t="s">
        <v>4510</v>
      </c>
      <c r="J18" s="2" t="s">
        <v>4511</v>
      </c>
      <c r="K18" s="2" t="s">
        <v>228</v>
      </c>
      <c r="L18" s="2" t="s">
        <v>4521</v>
      </c>
      <c r="M18" s="2" t="s">
        <v>1627</v>
      </c>
      <c r="N18" s="2" t="s">
        <v>919</v>
      </c>
      <c r="O18" s="2" t="s">
        <v>4513</v>
      </c>
      <c r="P18" s="2" t="s">
        <v>4450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75" x14ac:dyDescent="0.25">
      <c r="A19" s="2" t="s">
        <v>78</v>
      </c>
      <c r="B19" s="2" t="s">
        <v>4522</v>
      </c>
      <c r="C19" s="2" t="s">
        <v>4523</v>
      </c>
      <c r="D19" s="2" t="s">
        <v>1079</v>
      </c>
      <c r="E19" s="2" t="s">
        <v>228</v>
      </c>
      <c r="F19" s="2" t="s">
        <v>228</v>
      </c>
      <c r="G19" s="2" t="s">
        <v>4524</v>
      </c>
      <c r="H19" s="2" t="s">
        <v>4446</v>
      </c>
      <c r="I19" s="2" t="s">
        <v>4525</v>
      </c>
      <c r="J19" s="2" t="s">
        <v>4526</v>
      </c>
      <c r="K19" s="2" t="s">
        <v>228</v>
      </c>
      <c r="L19" s="2" t="s">
        <v>4527</v>
      </c>
      <c r="M19" s="2" t="s">
        <v>4528</v>
      </c>
      <c r="N19" s="2" t="s">
        <v>919</v>
      </c>
      <c r="O19" s="2" t="s">
        <v>4529</v>
      </c>
      <c r="P19" s="2" t="s">
        <v>4450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75" x14ac:dyDescent="0.25">
      <c r="A20" s="2" t="s">
        <v>78</v>
      </c>
      <c r="B20" s="2" t="s">
        <v>4522</v>
      </c>
      <c r="C20" s="2" t="s">
        <v>4530</v>
      </c>
      <c r="D20" s="2" t="s">
        <v>1079</v>
      </c>
      <c r="E20" s="2" t="s">
        <v>228</v>
      </c>
      <c r="F20" s="2" t="s">
        <v>648</v>
      </c>
      <c r="G20" s="2" t="s">
        <v>1562</v>
      </c>
      <c r="H20" s="2" t="s">
        <v>4446</v>
      </c>
      <c r="I20" s="2" t="s">
        <v>4525</v>
      </c>
      <c r="J20" s="2" t="s">
        <v>4526</v>
      </c>
      <c r="K20" s="2" t="s">
        <v>228</v>
      </c>
      <c r="L20" s="2" t="s">
        <v>4531</v>
      </c>
      <c r="M20" s="2" t="s">
        <v>4528</v>
      </c>
      <c r="N20" s="2" t="s">
        <v>919</v>
      </c>
      <c r="O20" s="2" t="s">
        <v>4529</v>
      </c>
      <c r="P20" s="2" t="s">
        <v>4450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75" x14ac:dyDescent="0.25">
      <c r="A21" s="2" t="s">
        <v>78</v>
      </c>
      <c r="B21" s="2" t="s">
        <v>4522</v>
      </c>
      <c r="C21" s="2" t="s">
        <v>4532</v>
      </c>
      <c r="D21" s="2" t="s">
        <v>1079</v>
      </c>
      <c r="E21" s="2" t="s">
        <v>228</v>
      </c>
      <c r="F21" s="2" t="s">
        <v>4533</v>
      </c>
      <c r="G21" s="2" t="s">
        <v>4534</v>
      </c>
      <c r="H21" s="2" t="s">
        <v>4446</v>
      </c>
      <c r="I21" s="2" t="s">
        <v>4525</v>
      </c>
      <c r="J21" s="2" t="s">
        <v>4526</v>
      </c>
      <c r="K21" s="2" t="s">
        <v>228</v>
      </c>
      <c r="L21" s="2" t="s">
        <v>4535</v>
      </c>
      <c r="M21" s="2" t="s">
        <v>4528</v>
      </c>
      <c r="N21" s="2" t="s">
        <v>919</v>
      </c>
      <c r="O21" s="2" t="s">
        <v>4529</v>
      </c>
      <c r="P21" s="2" t="s">
        <v>4450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75" x14ac:dyDescent="0.25">
      <c r="A22" s="2" t="s">
        <v>78</v>
      </c>
      <c r="B22" s="2" t="s">
        <v>4522</v>
      </c>
      <c r="C22" s="2" t="s">
        <v>4536</v>
      </c>
      <c r="D22" s="2" t="s">
        <v>1079</v>
      </c>
      <c r="E22" s="2" t="s">
        <v>228</v>
      </c>
      <c r="F22" s="2" t="s">
        <v>4537</v>
      </c>
      <c r="G22" s="2" t="s">
        <v>4538</v>
      </c>
      <c r="H22" s="2" t="s">
        <v>4446</v>
      </c>
      <c r="I22" s="2" t="s">
        <v>4525</v>
      </c>
      <c r="J22" s="2" t="s">
        <v>4526</v>
      </c>
      <c r="K22" s="2" t="s">
        <v>228</v>
      </c>
      <c r="L22" s="2" t="s">
        <v>4539</v>
      </c>
      <c r="M22" s="2" t="s">
        <v>4528</v>
      </c>
      <c r="N22" s="2" t="s">
        <v>919</v>
      </c>
      <c r="O22" s="2" t="s">
        <v>4529</v>
      </c>
      <c r="P22" s="2" t="s">
        <v>4450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75" x14ac:dyDescent="0.25">
      <c r="A23" s="2" t="s">
        <v>78</v>
      </c>
      <c r="B23" s="2" t="s">
        <v>4522</v>
      </c>
      <c r="C23" s="2" t="s">
        <v>4540</v>
      </c>
      <c r="D23" s="2" t="s">
        <v>1079</v>
      </c>
      <c r="E23" s="2" t="s">
        <v>228</v>
      </c>
      <c r="F23" s="2" t="s">
        <v>4541</v>
      </c>
      <c r="G23" s="2" t="s">
        <v>646</v>
      </c>
      <c r="H23" s="2" t="s">
        <v>4446</v>
      </c>
      <c r="I23" s="2" t="s">
        <v>4525</v>
      </c>
      <c r="J23" s="2" t="s">
        <v>4526</v>
      </c>
      <c r="K23" s="2" t="s">
        <v>228</v>
      </c>
      <c r="L23" s="2" t="s">
        <v>4542</v>
      </c>
      <c r="M23" s="2" t="s">
        <v>4528</v>
      </c>
      <c r="N23" s="2" t="s">
        <v>919</v>
      </c>
      <c r="O23" s="2" t="s">
        <v>4529</v>
      </c>
      <c r="P23" s="2" t="s">
        <v>4450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75" x14ac:dyDescent="0.25">
      <c r="A24" s="2" t="s">
        <v>78</v>
      </c>
      <c r="B24" s="2" t="s">
        <v>4543</v>
      </c>
      <c r="C24" s="2" t="s">
        <v>4544</v>
      </c>
      <c r="D24" s="2" t="s">
        <v>4545</v>
      </c>
      <c r="E24" s="2" t="s">
        <v>900</v>
      </c>
      <c r="F24" s="2" t="s">
        <v>900</v>
      </c>
      <c r="G24" s="2" t="s">
        <v>900</v>
      </c>
      <c r="H24" s="2" t="s">
        <v>4546</v>
      </c>
      <c r="I24" s="2" t="s">
        <v>4547</v>
      </c>
      <c r="J24" s="2" t="s">
        <v>4548</v>
      </c>
      <c r="K24" s="2" t="s">
        <v>228</v>
      </c>
      <c r="L24" s="2" t="s">
        <v>4549</v>
      </c>
      <c r="M24" s="2" t="s">
        <v>4528</v>
      </c>
      <c r="N24" s="2" t="s">
        <v>919</v>
      </c>
      <c r="O24" s="2"/>
      <c r="P24" s="2" t="s">
        <v>4450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75" x14ac:dyDescent="0.25">
      <c r="A25" s="2" t="s">
        <v>78</v>
      </c>
      <c r="B25" s="2" t="s">
        <v>4550</v>
      </c>
      <c r="C25" s="2" t="s">
        <v>4551</v>
      </c>
      <c r="D25" s="2" t="s">
        <v>4545</v>
      </c>
      <c r="E25" s="2" t="s">
        <v>900</v>
      </c>
      <c r="F25" s="2" t="s">
        <v>900</v>
      </c>
      <c r="G25" s="2" t="s">
        <v>900</v>
      </c>
      <c r="H25" s="2" t="s">
        <v>4546</v>
      </c>
      <c r="I25" s="2" t="s">
        <v>4547</v>
      </c>
      <c r="J25" s="2" t="s">
        <v>4552</v>
      </c>
      <c r="K25" s="2" t="s">
        <v>228</v>
      </c>
      <c r="L25" s="2" t="s">
        <v>4553</v>
      </c>
      <c r="M25" s="2" t="s">
        <v>4528</v>
      </c>
      <c r="N25" s="2" t="s">
        <v>919</v>
      </c>
      <c r="O25" s="2"/>
      <c r="P25" s="2" t="s">
        <v>4450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60" x14ac:dyDescent="0.25">
      <c r="A26" s="2" t="s">
        <v>79</v>
      </c>
      <c r="B26" s="2" t="s">
        <v>4554</v>
      </c>
      <c r="C26" s="2" t="s">
        <v>4555</v>
      </c>
      <c r="D26" s="2" t="s">
        <v>1079</v>
      </c>
      <c r="E26" s="2" t="s">
        <v>4556</v>
      </c>
      <c r="F26" s="2" t="s">
        <v>228</v>
      </c>
      <c r="G26" s="2" t="s">
        <v>4557</v>
      </c>
      <c r="H26" s="2" t="s">
        <v>4446</v>
      </c>
      <c r="I26" s="2" t="s">
        <v>687</v>
      </c>
      <c r="J26" s="2" t="s">
        <v>4558</v>
      </c>
      <c r="K26" s="2" t="s">
        <v>228</v>
      </c>
      <c r="L26" s="2" t="s">
        <v>4559</v>
      </c>
      <c r="M26" s="2" t="s">
        <v>2139</v>
      </c>
      <c r="N26" s="2" t="s">
        <v>919</v>
      </c>
      <c r="O26" s="2" t="s">
        <v>4560</v>
      </c>
      <c r="P26" s="2" t="s">
        <v>4450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60" x14ac:dyDescent="0.25">
      <c r="A27" s="2" t="s">
        <v>79</v>
      </c>
      <c r="B27" s="2" t="s">
        <v>4554</v>
      </c>
      <c r="C27" s="2" t="s">
        <v>4561</v>
      </c>
      <c r="D27" s="2" t="s">
        <v>1079</v>
      </c>
      <c r="E27" s="2" t="s">
        <v>4562</v>
      </c>
      <c r="F27" s="2" t="s">
        <v>228</v>
      </c>
      <c r="G27" s="2" t="s">
        <v>4563</v>
      </c>
      <c r="H27" s="2" t="s">
        <v>4446</v>
      </c>
      <c r="I27" s="2" t="s">
        <v>4564</v>
      </c>
      <c r="J27" s="2" t="s">
        <v>4558</v>
      </c>
      <c r="K27" s="2" t="s">
        <v>228</v>
      </c>
      <c r="L27" s="2" t="s">
        <v>4565</v>
      </c>
      <c r="M27" s="2" t="s">
        <v>2139</v>
      </c>
      <c r="N27" s="2" t="s">
        <v>919</v>
      </c>
      <c r="O27" s="2" t="s">
        <v>4560</v>
      </c>
      <c r="P27" s="2" t="s">
        <v>4450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60" x14ac:dyDescent="0.25">
      <c r="A28" s="2" t="s">
        <v>79</v>
      </c>
      <c r="B28" s="2" t="s">
        <v>4566</v>
      </c>
      <c r="C28" s="2" t="s">
        <v>4567</v>
      </c>
      <c r="D28" s="2" t="s">
        <v>1079</v>
      </c>
      <c r="E28" s="2" t="s">
        <v>4568</v>
      </c>
      <c r="F28" s="2" t="s">
        <v>228</v>
      </c>
      <c r="G28" s="2" t="s">
        <v>866</v>
      </c>
      <c r="H28" s="2" t="s">
        <v>4446</v>
      </c>
      <c r="I28" s="2" t="s">
        <v>687</v>
      </c>
      <c r="J28" s="2" t="s">
        <v>4569</v>
      </c>
      <c r="K28" s="2" t="s">
        <v>228</v>
      </c>
      <c r="L28" s="2" t="s">
        <v>4570</v>
      </c>
      <c r="M28" s="2" t="s">
        <v>2139</v>
      </c>
      <c r="N28" s="2" t="s">
        <v>919</v>
      </c>
      <c r="O28" s="2" t="s">
        <v>4560</v>
      </c>
      <c r="P28" s="2" t="s">
        <v>4450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60" x14ac:dyDescent="0.25">
      <c r="A29" s="2" t="s">
        <v>79</v>
      </c>
      <c r="B29" s="2" t="s">
        <v>4566</v>
      </c>
      <c r="C29" s="2" t="s">
        <v>4571</v>
      </c>
      <c r="D29" s="2" t="s">
        <v>1079</v>
      </c>
      <c r="E29" s="2" t="s">
        <v>4556</v>
      </c>
      <c r="F29" s="2" t="s">
        <v>228</v>
      </c>
      <c r="G29" s="2" t="s">
        <v>4557</v>
      </c>
      <c r="H29" s="2" t="s">
        <v>4446</v>
      </c>
      <c r="I29" s="2" t="s">
        <v>4572</v>
      </c>
      <c r="J29" s="2" t="s">
        <v>4569</v>
      </c>
      <c r="K29" s="2" t="s">
        <v>228</v>
      </c>
      <c r="L29" s="2" t="s">
        <v>4573</v>
      </c>
      <c r="M29" s="2" t="s">
        <v>2139</v>
      </c>
      <c r="N29" s="2" t="s">
        <v>919</v>
      </c>
      <c r="O29" s="2" t="s">
        <v>4560</v>
      </c>
      <c r="P29" s="2" t="s">
        <v>4450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75" x14ac:dyDescent="0.25">
      <c r="A30" s="2" t="s">
        <v>79</v>
      </c>
      <c r="B30" s="2" t="s">
        <v>4574</v>
      </c>
      <c r="C30" s="2" t="s">
        <v>4575</v>
      </c>
      <c r="D30" s="2" t="s">
        <v>4545</v>
      </c>
      <c r="E30" s="2" t="s">
        <v>900</v>
      </c>
      <c r="F30" s="2" t="s">
        <v>900</v>
      </c>
      <c r="G30" s="2" t="s">
        <v>900</v>
      </c>
      <c r="H30" s="2" t="s">
        <v>4546</v>
      </c>
      <c r="I30" s="2" t="s">
        <v>4547</v>
      </c>
      <c r="J30" s="2" t="s">
        <v>4569</v>
      </c>
      <c r="K30" s="2" t="s">
        <v>228</v>
      </c>
      <c r="L30" s="2" t="s">
        <v>4576</v>
      </c>
      <c r="M30" s="2" t="s">
        <v>2139</v>
      </c>
      <c r="N30" s="2" t="s">
        <v>919</v>
      </c>
      <c r="O30" s="2"/>
      <c r="P30" s="2" t="s">
        <v>4450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45" x14ac:dyDescent="0.25">
      <c r="A31" s="2" t="s">
        <v>80</v>
      </c>
      <c r="B31" s="2" t="s">
        <v>4577</v>
      </c>
      <c r="C31" s="2" t="s">
        <v>4578</v>
      </c>
      <c r="D31" s="2" t="s">
        <v>4545</v>
      </c>
      <c r="E31" s="2" t="s">
        <v>900</v>
      </c>
      <c r="F31" s="2" t="s">
        <v>228</v>
      </c>
      <c r="G31" s="2" t="s">
        <v>900</v>
      </c>
      <c r="H31" s="2" t="s">
        <v>4546</v>
      </c>
      <c r="I31" s="2" t="s">
        <v>4579</v>
      </c>
      <c r="J31" s="2" t="s">
        <v>4580</v>
      </c>
      <c r="K31" s="2" t="s">
        <v>228</v>
      </c>
      <c r="L31" s="2" t="s">
        <v>4581</v>
      </c>
      <c r="M31" s="2" t="s">
        <v>4582</v>
      </c>
      <c r="N31" s="2" t="s">
        <v>919</v>
      </c>
      <c r="O31" s="2" t="s">
        <v>4583</v>
      </c>
      <c r="P31" s="2" t="s">
        <v>4450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45" x14ac:dyDescent="0.25">
      <c r="A32" s="2" t="s">
        <v>80</v>
      </c>
      <c r="B32" s="2" t="s">
        <v>4577</v>
      </c>
      <c r="C32" s="2" t="s">
        <v>4584</v>
      </c>
      <c r="D32" s="2" t="s">
        <v>4545</v>
      </c>
      <c r="E32" s="2" t="s">
        <v>900</v>
      </c>
      <c r="F32" s="2" t="s">
        <v>228</v>
      </c>
      <c r="G32" s="2" t="s">
        <v>900</v>
      </c>
      <c r="H32" s="2" t="s">
        <v>4546</v>
      </c>
      <c r="I32" s="2" t="s">
        <v>4579</v>
      </c>
      <c r="J32" s="2" t="s">
        <v>4580</v>
      </c>
      <c r="K32" s="2" t="s">
        <v>228</v>
      </c>
      <c r="L32" s="2" t="s">
        <v>4585</v>
      </c>
      <c r="M32" s="2" t="s">
        <v>4582</v>
      </c>
      <c r="N32" s="2" t="s">
        <v>919</v>
      </c>
      <c r="O32" s="2" t="s">
        <v>4583</v>
      </c>
      <c r="P32" s="2" t="s">
        <v>4450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60" x14ac:dyDescent="0.25">
      <c r="A33" s="2" t="s">
        <v>80</v>
      </c>
      <c r="B33" s="2" t="s">
        <v>4577</v>
      </c>
      <c r="C33" s="2" t="s">
        <v>4586</v>
      </c>
      <c r="D33" s="2" t="s">
        <v>4545</v>
      </c>
      <c r="E33" s="2" t="s">
        <v>900</v>
      </c>
      <c r="F33" s="2" t="s">
        <v>228</v>
      </c>
      <c r="G33" s="2" t="s">
        <v>900</v>
      </c>
      <c r="H33" s="2" t="s">
        <v>4546</v>
      </c>
      <c r="I33" s="2" t="s">
        <v>4579</v>
      </c>
      <c r="J33" s="2" t="s">
        <v>4580</v>
      </c>
      <c r="K33" s="2" t="s">
        <v>228</v>
      </c>
      <c r="L33" s="2" t="s">
        <v>4587</v>
      </c>
      <c r="M33" s="2" t="s">
        <v>4582</v>
      </c>
      <c r="N33" s="2" t="s">
        <v>919</v>
      </c>
      <c r="O33" s="2" t="s">
        <v>4583</v>
      </c>
      <c r="P33" s="2" t="s">
        <v>4450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75" x14ac:dyDescent="0.25">
      <c r="A34" s="2" t="s">
        <v>80</v>
      </c>
      <c r="B34" s="2" t="s">
        <v>4588</v>
      </c>
      <c r="C34" s="2" t="s">
        <v>4589</v>
      </c>
      <c r="D34" s="2" t="s">
        <v>4590</v>
      </c>
      <c r="E34" s="2" t="s">
        <v>900</v>
      </c>
      <c r="F34" s="2" t="s">
        <v>228</v>
      </c>
      <c r="G34" s="2" t="s">
        <v>900</v>
      </c>
      <c r="H34" s="2" t="s">
        <v>4546</v>
      </c>
      <c r="I34" s="2" t="s">
        <v>4591</v>
      </c>
      <c r="J34" s="2" t="s">
        <v>4592</v>
      </c>
      <c r="K34" s="2" t="s">
        <v>4593</v>
      </c>
      <c r="L34" s="2" t="s">
        <v>4594</v>
      </c>
      <c r="M34" s="2" t="s">
        <v>4595</v>
      </c>
      <c r="N34" s="2" t="s">
        <v>919</v>
      </c>
      <c r="O34" s="2"/>
      <c r="P34" s="2" t="s">
        <v>4450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45" x14ac:dyDescent="0.25">
      <c r="A35" s="2" t="s">
        <v>81</v>
      </c>
      <c r="B35" s="2" t="s">
        <v>4596</v>
      </c>
      <c r="C35" s="2" t="s">
        <v>4597</v>
      </c>
      <c r="D35" s="2" t="s">
        <v>4545</v>
      </c>
      <c r="E35" s="2" t="s">
        <v>900</v>
      </c>
      <c r="F35" s="2" t="s">
        <v>228</v>
      </c>
      <c r="G35" s="2" t="s">
        <v>900</v>
      </c>
      <c r="H35" s="2" t="s">
        <v>4598</v>
      </c>
      <c r="I35" s="2" t="s">
        <v>693</v>
      </c>
      <c r="J35" s="2" t="s">
        <v>4599</v>
      </c>
      <c r="K35" s="2" t="s">
        <v>228</v>
      </c>
      <c r="L35" s="2" t="s">
        <v>4600</v>
      </c>
      <c r="M35" s="2" t="s">
        <v>4408</v>
      </c>
      <c r="N35" s="2" t="s">
        <v>919</v>
      </c>
      <c r="O35" s="2" t="s">
        <v>4601</v>
      </c>
      <c r="P35" s="2" t="s">
        <v>4450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30" x14ac:dyDescent="0.25">
      <c r="A36" s="2" t="s">
        <v>81</v>
      </c>
      <c r="B36" s="2" t="s">
        <v>4596</v>
      </c>
      <c r="C36" s="2" t="s">
        <v>4602</v>
      </c>
      <c r="D36" s="2" t="s">
        <v>4545</v>
      </c>
      <c r="E36" s="2" t="s">
        <v>900</v>
      </c>
      <c r="F36" s="2" t="s">
        <v>228</v>
      </c>
      <c r="G36" s="2" t="s">
        <v>900</v>
      </c>
      <c r="H36" s="2" t="s">
        <v>4598</v>
      </c>
      <c r="I36" s="2" t="s">
        <v>693</v>
      </c>
      <c r="J36" s="2" t="s">
        <v>4599</v>
      </c>
      <c r="K36" s="2" t="s">
        <v>228</v>
      </c>
      <c r="L36" s="2" t="s">
        <v>4603</v>
      </c>
      <c r="M36" s="2" t="s">
        <v>4408</v>
      </c>
      <c r="N36" s="2" t="s">
        <v>919</v>
      </c>
      <c r="O36" s="2" t="s">
        <v>4601</v>
      </c>
      <c r="P36" s="2" t="s">
        <v>4450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30" x14ac:dyDescent="0.25">
      <c r="A37" s="2" t="s">
        <v>81</v>
      </c>
      <c r="B37" s="2" t="s">
        <v>4596</v>
      </c>
      <c r="C37" s="2" t="s">
        <v>4604</v>
      </c>
      <c r="D37" s="2" t="s">
        <v>4545</v>
      </c>
      <c r="E37" s="2" t="s">
        <v>900</v>
      </c>
      <c r="F37" s="2" t="s">
        <v>228</v>
      </c>
      <c r="G37" s="2" t="s">
        <v>900</v>
      </c>
      <c r="H37" s="2" t="s">
        <v>4598</v>
      </c>
      <c r="I37" s="2" t="s">
        <v>693</v>
      </c>
      <c r="J37" s="2" t="s">
        <v>4599</v>
      </c>
      <c r="K37" s="2" t="s">
        <v>228</v>
      </c>
      <c r="L37" s="2" t="s">
        <v>4605</v>
      </c>
      <c r="M37" s="2" t="s">
        <v>4408</v>
      </c>
      <c r="N37" s="2" t="s">
        <v>919</v>
      </c>
      <c r="O37" s="2" t="s">
        <v>4601</v>
      </c>
      <c r="P37" s="2" t="s">
        <v>4450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45" x14ac:dyDescent="0.25">
      <c r="A38" s="2" t="s">
        <v>82</v>
      </c>
      <c r="B38" s="2" t="s">
        <v>4606</v>
      </c>
      <c r="C38" s="2" t="s">
        <v>4607</v>
      </c>
      <c r="D38" s="2" t="s">
        <v>1079</v>
      </c>
      <c r="E38" s="2" t="s">
        <v>4458</v>
      </c>
      <c r="F38" s="2" t="s">
        <v>228</v>
      </c>
      <c r="G38" s="2" t="s">
        <v>866</v>
      </c>
      <c r="H38" s="2" t="s">
        <v>4446</v>
      </c>
      <c r="I38" s="2" t="s">
        <v>4608</v>
      </c>
      <c r="J38" s="2" t="s">
        <v>4609</v>
      </c>
      <c r="K38" s="2" t="s">
        <v>228</v>
      </c>
      <c r="L38" s="2" t="s">
        <v>4610</v>
      </c>
      <c r="M38" s="2" t="s">
        <v>1628</v>
      </c>
      <c r="N38" s="2" t="s">
        <v>919</v>
      </c>
      <c r="O38" s="2" t="s">
        <v>4611</v>
      </c>
      <c r="P38" s="2" t="s">
        <v>4450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45" x14ac:dyDescent="0.25">
      <c r="A39" s="2" t="s">
        <v>82</v>
      </c>
      <c r="B39" s="2" t="s">
        <v>4606</v>
      </c>
      <c r="C39" s="2" t="s">
        <v>4612</v>
      </c>
      <c r="D39" s="2" t="s">
        <v>1079</v>
      </c>
      <c r="E39" s="2" t="s">
        <v>4451</v>
      </c>
      <c r="F39" s="2" t="s">
        <v>228</v>
      </c>
      <c r="G39" s="2" t="s">
        <v>866</v>
      </c>
      <c r="H39" s="2" t="s">
        <v>4446</v>
      </c>
      <c r="I39" s="2" t="s">
        <v>4608</v>
      </c>
      <c r="J39" s="2" t="s">
        <v>4609</v>
      </c>
      <c r="K39" s="2" t="s">
        <v>228</v>
      </c>
      <c r="L39" s="2" t="s">
        <v>4613</v>
      </c>
      <c r="M39" s="2" t="s">
        <v>1628</v>
      </c>
      <c r="N39" s="2" t="s">
        <v>919</v>
      </c>
      <c r="O39" s="2" t="s">
        <v>4611</v>
      </c>
      <c r="P39" s="2" t="s">
        <v>4450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45" x14ac:dyDescent="0.25">
      <c r="A40" s="2" t="s">
        <v>82</v>
      </c>
      <c r="B40" s="2" t="s">
        <v>4606</v>
      </c>
      <c r="C40" s="2" t="s">
        <v>1951</v>
      </c>
      <c r="D40" s="2" t="s">
        <v>1079</v>
      </c>
      <c r="E40" s="2" t="s">
        <v>4614</v>
      </c>
      <c r="F40" s="2" t="s">
        <v>228</v>
      </c>
      <c r="G40" s="2" t="s">
        <v>866</v>
      </c>
      <c r="H40" s="2" t="s">
        <v>4446</v>
      </c>
      <c r="I40" s="2" t="s">
        <v>4608</v>
      </c>
      <c r="J40" s="2" t="s">
        <v>4609</v>
      </c>
      <c r="K40" s="2" t="s">
        <v>228</v>
      </c>
      <c r="L40" s="2" t="s">
        <v>4615</v>
      </c>
      <c r="M40" s="2" t="s">
        <v>1628</v>
      </c>
      <c r="N40" s="2" t="s">
        <v>919</v>
      </c>
      <c r="O40" s="2" t="s">
        <v>4611</v>
      </c>
      <c r="P40" s="2" t="s">
        <v>4450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75" x14ac:dyDescent="0.25">
      <c r="A41" s="2" t="s">
        <v>82</v>
      </c>
      <c r="B41" s="2" t="s">
        <v>4522</v>
      </c>
      <c r="C41" s="2" t="s">
        <v>4616</v>
      </c>
      <c r="D41" s="2" t="s">
        <v>1079</v>
      </c>
      <c r="E41" s="2" t="s">
        <v>4617</v>
      </c>
      <c r="F41" s="2" t="s">
        <v>228</v>
      </c>
      <c r="G41" s="2" t="s">
        <v>4618</v>
      </c>
      <c r="H41" s="2" t="s">
        <v>4446</v>
      </c>
      <c r="I41" s="2" t="s">
        <v>4619</v>
      </c>
      <c r="J41" s="2" t="s">
        <v>4620</v>
      </c>
      <c r="K41" s="2" t="s">
        <v>4621</v>
      </c>
      <c r="L41" s="2" t="s">
        <v>4622</v>
      </c>
      <c r="M41" s="2" t="s">
        <v>4623</v>
      </c>
      <c r="N41" s="2" t="s">
        <v>919</v>
      </c>
      <c r="O41" s="2" t="s">
        <v>4624</v>
      </c>
      <c r="P41" s="2" t="s">
        <v>4450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30" x14ac:dyDescent="0.25">
      <c r="A42" s="2" t="s">
        <v>83</v>
      </c>
      <c r="B42" s="2" t="s">
        <v>4470</v>
      </c>
      <c r="C42" s="2" t="s">
        <v>4625</v>
      </c>
      <c r="D42" s="2" t="s">
        <v>287</v>
      </c>
      <c r="E42" s="2" t="s">
        <v>228</v>
      </c>
      <c r="F42" s="2" t="s">
        <v>228</v>
      </c>
      <c r="G42" s="2" t="s">
        <v>228</v>
      </c>
      <c r="H42" s="2" t="s">
        <v>228</v>
      </c>
      <c r="I42" s="2" t="s">
        <v>4626</v>
      </c>
      <c r="J42" s="2" t="s">
        <v>4627</v>
      </c>
      <c r="K42" s="2" t="s">
        <v>228</v>
      </c>
      <c r="L42" s="2" t="s">
        <v>4628</v>
      </c>
      <c r="M42" s="2" t="s">
        <v>771</v>
      </c>
      <c r="N42" s="2" t="s">
        <v>919</v>
      </c>
      <c r="O42" s="2"/>
      <c r="P42" s="2" t="s">
        <v>4450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30" x14ac:dyDescent="0.25">
      <c r="A43" s="2" t="s">
        <v>84</v>
      </c>
      <c r="B43" s="2" t="s">
        <v>4470</v>
      </c>
      <c r="C43" s="2" t="s">
        <v>4471</v>
      </c>
      <c r="D43" s="2" t="s">
        <v>287</v>
      </c>
      <c r="E43" s="2" t="s">
        <v>228</v>
      </c>
      <c r="F43" s="2" t="s">
        <v>228</v>
      </c>
      <c r="G43" s="2" t="s">
        <v>228</v>
      </c>
      <c r="H43" s="2" t="s">
        <v>866</v>
      </c>
      <c r="I43" s="2" t="s">
        <v>866</v>
      </c>
      <c r="J43" s="2" t="s">
        <v>4627</v>
      </c>
      <c r="K43" s="2" t="s">
        <v>228</v>
      </c>
      <c r="L43" s="2" t="s">
        <v>866</v>
      </c>
      <c r="M43" s="2" t="s">
        <v>4629</v>
      </c>
      <c r="N43" s="2" t="s">
        <v>919</v>
      </c>
      <c r="O43" s="2" t="s">
        <v>4630</v>
      </c>
      <c r="P43" s="2" t="s">
        <v>4450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45" x14ac:dyDescent="0.25">
      <c r="A44" s="2" t="s">
        <v>85</v>
      </c>
      <c r="B44" s="2" t="s">
        <v>4470</v>
      </c>
      <c r="C44" s="2" t="s">
        <v>4471</v>
      </c>
      <c r="D44" s="2" t="s">
        <v>287</v>
      </c>
      <c r="E44" s="2" t="s">
        <v>228</v>
      </c>
      <c r="F44" s="2" t="s">
        <v>228</v>
      </c>
      <c r="G44" s="2" t="s">
        <v>228</v>
      </c>
      <c r="H44" s="2" t="s">
        <v>866</v>
      </c>
      <c r="I44" s="2" t="s">
        <v>866</v>
      </c>
      <c r="J44" s="2" t="s">
        <v>4631</v>
      </c>
      <c r="K44" s="2" t="s">
        <v>228</v>
      </c>
      <c r="L44" s="2" t="s">
        <v>866</v>
      </c>
      <c r="M44" s="2" t="s">
        <v>4632</v>
      </c>
      <c r="N44" s="2" t="s">
        <v>919</v>
      </c>
      <c r="O44" s="2" t="s">
        <v>4633</v>
      </c>
      <c r="P44" s="2" t="s">
        <v>4450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45" x14ac:dyDescent="0.25">
      <c r="A45" s="2" t="s">
        <v>86</v>
      </c>
      <c r="B45" s="2" t="s">
        <v>4470</v>
      </c>
      <c r="C45" s="2" t="s">
        <v>4471</v>
      </c>
      <c r="D45" s="2" t="s">
        <v>287</v>
      </c>
      <c r="E45" s="2" t="s">
        <v>228</v>
      </c>
      <c r="F45" s="2" t="s">
        <v>228</v>
      </c>
      <c r="G45" s="2" t="s">
        <v>228</v>
      </c>
      <c r="H45" s="2" t="s">
        <v>866</v>
      </c>
      <c r="I45" s="2" t="s">
        <v>866</v>
      </c>
      <c r="J45" s="2" t="s">
        <v>4351</v>
      </c>
      <c r="K45" s="2" t="s">
        <v>228</v>
      </c>
      <c r="L45" s="2" t="s">
        <v>866</v>
      </c>
      <c r="M45" s="2" t="s">
        <v>4634</v>
      </c>
      <c r="N45" s="2" t="s">
        <v>919</v>
      </c>
      <c r="O45" s="2" t="s">
        <v>4635</v>
      </c>
      <c r="P45" s="2" t="s">
        <v>4450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60" x14ac:dyDescent="0.25">
      <c r="A46" s="2" t="s">
        <v>87</v>
      </c>
      <c r="B46" s="2" t="s">
        <v>4636</v>
      </c>
      <c r="C46" s="2" t="s">
        <v>4637</v>
      </c>
      <c r="D46" s="2" t="s">
        <v>276</v>
      </c>
      <c r="E46" s="2" t="s">
        <v>228</v>
      </c>
      <c r="F46" s="2" t="s">
        <v>228</v>
      </c>
      <c r="G46" s="2" t="s">
        <v>228</v>
      </c>
      <c r="H46" s="2" t="s">
        <v>228</v>
      </c>
      <c r="I46" s="2" t="s">
        <v>4638</v>
      </c>
      <c r="J46" s="2" t="s">
        <v>4639</v>
      </c>
      <c r="K46" s="2" t="s">
        <v>228</v>
      </c>
      <c r="L46" s="2" t="s">
        <v>4640</v>
      </c>
      <c r="M46" s="2" t="s">
        <v>1629</v>
      </c>
      <c r="N46" s="2" t="s">
        <v>919</v>
      </c>
      <c r="O46" s="2"/>
      <c r="P46" s="2" t="s">
        <v>4450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30" x14ac:dyDescent="0.25">
      <c r="A47" s="2" t="s">
        <v>88</v>
      </c>
      <c r="B47" s="2" t="s">
        <v>4470</v>
      </c>
      <c r="C47" s="2" t="s">
        <v>4471</v>
      </c>
      <c r="D47" s="2" t="s">
        <v>287</v>
      </c>
      <c r="E47" s="2" t="s">
        <v>228</v>
      </c>
      <c r="F47" s="2" t="s">
        <v>228</v>
      </c>
      <c r="G47" s="2" t="s">
        <v>228</v>
      </c>
      <c r="H47" s="2" t="s">
        <v>866</v>
      </c>
      <c r="I47" s="2" t="s">
        <v>866</v>
      </c>
      <c r="J47" s="2" t="s">
        <v>4627</v>
      </c>
      <c r="K47" s="2" t="s">
        <v>228</v>
      </c>
      <c r="L47" s="2" t="s">
        <v>866</v>
      </c>
      <c r="M47" s="2" t="s">
        <v>4641</v>
      </c>
      <c r="N47" s="2" t="s">
        <v>919</v>
      </c>
      <c r="O47" s="2" t="s">
        <v>4642</v>
      </c>
      <c r="P47" s="2" t="s">
        <v>4450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90" x14ac:dyDescent="0.25">
      <c r="A48" s="2" t="s">
        <v>89</v>
      </c>
      <c r="B48" s="2" t="s">
        <v>4643</v>
      </c>
      <c r="C48" s="2" t="s">
        <v>623</v>
      </c>
      <c r="D48" s="2" t="s">
        <v>4644</v>
      </c>
      <c r="E48" s="2" t="s">
        <v>866</v>
      </c>
      <c r="F48" s="2" t="s">
        <v>228</v>
      </c>
      <c r="G48" s="2" t="s">
        <v>4645</v>
      </c>
      <c r="H48" s="2" t="s">
        <v>4646</v>
      </c>
      <c r="I48" s="2" t="s">
        <v>699</v>
      </c>
      <c r="J48" s="2" t="s">
        <v>4647</v>
      </c>
      <c r="K48" s="2" t="s">
        <v>4648</v>
      </c>
      <c r="L48" s="2" t="s">
        <v>4649</v>
      </c>
      <c r="M48" s="2" t="s">
        <v>4410</v>
      </c>
      <c r="N48" s="2" t="s">
        <v>919</v>
      </c>
      <c r="O48" s="2" t="s">
        <v>4650</v>
      </c>
      <c r="P48" s="2" t="s">
        <v>4450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30" x14ac:dyDescent="0.25">
      <c r="A49" s="2" t="s">
        <v>90</v>
      </c>
      <c r="B49" s="2" t="s">
        <v>4470</v>
      </c>
      <c r="C49" s="2" t="s">
        <v>4497</v>
      </c>
      <c r="D49" s="2" t="s">
        <v>276</v>
      </c>
      <c r="E49" s="2" t="s">
        <v>228</v>
      </c>
      <c r="F49" s="2" t="s">
        <v>228</v>
      </c>
      <c r="G49" s="2" t="s">
        <v>228</v>
      </c>
      <c r="H49" s="2" t="s">
        <v>228</v>
      </c>
      <c r="I49" s="2" t="s">
        <v>4651</v>
      </c>
      <c r="J49" s="2" t="s">
        <v>4499</v>
      </c>
      <c r="K49" s="2" t="s">
        <v>228</v>
      </c>
      <c r="L49" s="2" t="s">
        <v>4652</v>
      </c>
      <c r="M49" s="2" t="s">
        <v>2429</v>
      </c>
      <c r="N49" s="2" t="s">
        <v>919</v>
      </c>
      <c r="O49" s="2" t="s">
        <v>4653</v>
      </c>
      <c r="P49" s="2" t="s">
        <v>4450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60" x14ac:dyDescent="0.25">
      <c r="A50" s="2" t="s">
        <v>91</v>
      </c>
      <c r="B50" s="2" t="s">
        <v>4654</v>
      </c>
      <c r="C50" s="2" t="s">
        <v>4655</v>
      </c>
      <c r="D50" s="2" t="s">
        <v>287</v>
      </c>
      <c r="E50" s="2" t="s">
        <v>228</v>
      </c>
      <c r="F50" s="2" t="s">
        <v>228</v>
      </c>
      <c r="G50" s="2" t="s">
        <v>228</v>
      </c>
      <c r="H50" s="2" t="s">
        <v>228</v>
      </c>
      <c r="I50" s="2" t="s">
        <v>4656</v>
      </c>
      <c r="J50" s="2" t="s">
        <v>4208</v>
      </c>
      <c r="K50" s="2" t="s">
        <v>228</v>
      </c>
      <c r="L50" s="2" t="s">
        <v>4657</v>
      </c>
      <c r="M50" s="2" t="s">
        <v>2413</v>
      </c>
      <c r="N50" s="2" t="s">
        <v>919</v>
      </c>
      <c r="O50" s="2"/>
      <c r="P50" s="2" t="s">
        <v>4450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45" x14ac:dyDescent="0.25">
      <c r="A51" s="2" t="s">
        <v>92</v>
      </c>
      <c r="B51" s="2" t="s">
        <v>4497</v>
      </c>
      <c r="C51" s="2" t="s">
        <v>4658</v>
      </c>
      <c r="D51" s="2" t="s">
        <v>276</v>
      </c>
      <c r="E51" s="2" t="s">
        <v>228</v>
      </c>
      <c r="F51" s="2" t="s">
        <v>228</v>
      </c>
      <c r="G51" s="2" t="s">
        <v>228</v>
      </c>
      <c r="H51" s="2" t="s">
        <v>228</v>
      </c>
      <c r="I51" s="2" t="s">
        <v>4659</v>
      </c>
      <c r="J51" s="2" t="s">
        <v>4660</v>
      </c>
      <c r="K51" s="2" t="s">
        <v>228</v>
      </c>
      <c r="L51" s="2" t="s">
        <v>4661</v>
      </c>
      <c r="M51" s="2" t="s">
        <v>776</v>
      </c>
      <c r="N51" s="2" t="s">
        <v>919</v>
      </c>
      <c r="O51" s="2"/>
      <c r="P51" s="2" t="s">
        <v>4450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30" x14ac:dyDescent="0.25">
      <c r="A52" s="2" t="s">
        <v>93</v>
      </c>
      <c r="B52" s="2" t="s">
        <v>4497</v>
      </c>
      <c r="C52" s="2" t="s">
        <v>4662</v>
      </c>
      <c r="D52" s="2" t="s">
        <v>276</v>
      </c>
      <c r="E52" s="2" t="s">
        <v>228</v>
      </c>
      <c r="F52" s="2" t="s">
        <v>228</v>
      </c>
      <c r="G52" s="2" t="s">
        <v>228</v>
      </c>
      <c r="H52" s="2" t="s">
        <v>228</v>
      </c>
      <c r="I52" s="2" t="s">
        <v>4663</v>
      </c>
      <c r="J52" s="2" t="s">
        <v>4499</v>
      </c>
      <c r="K52" s="2" t="s">
        <v>228</v>
      </c>
      <c r="L52" s="2" t="s">
        <v>4664</v>
      </c>
      <c r="M52" s="2" t="s">
        <v>777</v>
      </c>
      <c r="N52" s="2" t="s">
        <v>919</v>
      </c>
      <c r="O52" s="2"/>
      <c r="P52" s="2" t="s">
        <v>4450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30" x14ac:dyDescent="0.25">
      <c r="A53" s="2" t="s">
        <v>94</v>
      </c>
      <c r="B53" s="2" t="s">
        <v>4497</v>
      </c>
      <c r="C53" s="2" t="s">
        <v>4665</v>
      </c>
      <c r="D53" s="2" t="s">
        <v>276</v>
      </c>
      <c r="E53" s="2" t="s">
        <v>228</v>
      </c>
      <c r="F53" s="2" t="s">
        <v>228</v>
      </c>
      <c r="G53" s="2" t="s">
        <v>228</v>
      </c>
      <c r="H53" s="2" t="s">
        <v>228</v>
      </c>
      <c r="I53" s="2" t="s">
        <v>4666</v>
      </c>
      <c r="J53" s="2" t="s">
        <v>4499</v>
      </c>
      <c r="K53" s="2" t="s">
        <v>228</v>
      </c>
      <c r="L53" s="2" t="s">
        <v>4667</v>
      </c>
      <c r="M53" s="2" t="s">
        <v>4668</v>
      </c>
      <c r="N53" s="2" t="s">
        <v>919</v>
      </c>
      <c r="O53" s="2"/>
      <c r="P53" s="2" t="s">
        <v>4450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60" x14ac:dyDescent="0.25">
      <c r="A54" s="2" t="s">
        <v>95</v>
      </c>
      <c r="B54" s="2" t="s">
        <v>4442</v>
      </c>
      <c r="C54" s="2" t="s">
        <v>4669</v>
      </c>
      <c r="D54" s="2" t="s">
        <v>1079</v>
      </c>
      <c r="E54" s="2" t="s">
        <v>4670</v>
      </c>
      <c r="F54" s="2" t="s">
        <v>228</v>
      </c>
      <c r="G54" s="2" t="s">
        <v>4671</v>
      </c>
      <c r="H54" s="2" t="s">
        <v>4446</v>
      </c>
      <c r="I54" s="2" t="s">
        <v>687</v>
      </c>
      <c r="J54" s="2" t="s">
        <v>4447</v>
      </c>
      <c r="K54" s="2" t="s">
        <v>228</v>
      </c>
      <c r="L54" s="2" t="s">
        <v>4672</v>
      </c>
      <c r="M54" s="2" t="s">
        <v>1630</v>
      </c>
      <c r="N54" s="2" t="s">
        <v>919</v>
      </c>
      <c r="O54" s="2" t="s">
        <v>4673</v>
      </c>
      <c r="P54" s="2" t="s">
        <v>4450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90" x14ac:dyDescent="0.25">
      <c r="A55" s="2" t="s">
        <v>95</v>
      </c>
      <c r="B55" s="2" t="s">
        <v>4674</v>
      </c>
      <c r="C55" s="2" t="s">
        <v>4675</v>
      </c>
      <c r="D55" s="2" t="s">
        <v>1079</v>
      </c>
      <c r="E55" s="2" t="s">
        <v>4676</v>
      </c>
      <c r="F55" s="2" t="s">
        <v>228</v>
      </c>
      <c r="G55" s="2" t="s">
        <v>228</v>
      </c>
      <c r="H55" s="2" t="s">
        <v>4446</v>
      </c>
      <c r="I55" s="2" t="s">
        <v>4677</v>
      </c>
      <c r="J55" s="2" t="s">
        <v>4678</v>
      </c>
      <c r="K55" s="2" t="s">
        <v>228</v>
      </c>
      <c r="L55" s="2" t="s">
        <v>4679</v>
      </c>
      <c r="M55" s="2" t="s">
        <v>1630</v>
      </c>
      <c r="N55" s="2" t="s">
        <v>919</v>
      </c>
      <c r="O55" s="2" t="s">
        <v>4680</v>
      </c>
      <c r="P55" s="2" t="s">
        <v>4450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75" x14ac:dyDescent="0.25">
      <c r="A56" s="2" t="s">
        <v>95</v>
      </c>
      <c r="B56" s="2" t="s">
        <v>4674</v>
      </c>
      <c r="C56" s="2" t="s">
        <v>1952</v>
      </c>
      <c r="D56" s="2" t="s">
        <v>1079</v>
      </c>
      <c r="E56" s="2" t="s">
        <v>4681</v>
      </c>
      <c r="F56" s="2" t="s">
        <v>228</v>
      </c>
      <c r="G56" s="2" t="s">
        <v>228</v>
      </c>
      <c r="H56" s="2" t="s">
        <v>4446</v>
      </c>
      <c r="I56" s="2" t="s">
        <v>4677</v>
      </c>
      <c r="J56" s="2" t="s">
        <v>4678</v>
      </c>
      <c r="K56" s="2" t="s">
        <v>228</v>
      </c>
      <c r="L56" s="2" t="s">
        <v>4682</v>
      </c>
      <c r="M56" s="2" t="s">
        <v>1630</v>
      </c>
      <c r="N56" s="2" t="s">
        <v>919</v>
      </c>
      <c r="O56" s="2" t="s">
        <v>4680</v>
      </c>
      <c r="P56" s="2" t="s">
        <v>4450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30" x14ac:dyDescent="0.25">
      <c r="A57" s="2" t="s">
        <v>96</v>
      </c>
      <c r="B57" s="2" t="s">
        <v>4470</v>
      </c>
      <c r="C57" s="2" t="s">
        <v>4471</v>
      </c>
      <c r="D57" s="2" t="s">
        <v>287</v>
      </c>
      <c r="E57" s="2" t="s">
        <v>228</v>
      </c>
      <c r="F57" s="2" t="s">
        <v>228</v>
      </c>
      <c r="G57" s="2" t="s">
        <v>228</v>
      </c>
      <c r="H57" s="2" t="s">
        <v>866</v>
      </c>
      <c r="I57" s="2" t="s">
        <v>4683</v>
      </c>
      <c r="J57" s="2" t="s">
        <v>4684</v>
      </c>
      <c r="K57" s="2" t="s">
        <v>228</v>
      </c>
      <c r="L57" s="2" t="s">
        <v>4685</v>
      </c>
      <c r="M57" s="2" t="s">
        <v>1961</v>
      </c>
      <c r="N57" s="2" t="s">
        <v>919</v>
      </c>
      <c r="O57" s="2"/>
      <c r="P57" s="2" t="s">
        <v>4450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30" x14ac:dyDescent="0.25">
      <c r="A58" s="2" t="s">
        <v>97</v>
      </c>
      <c r="B58" s="2" t="s">
        <v>4470</v>
      </c>
      <c r="C58" s="2" t="s">
        <v>4471</v>
      </c>
      <c r="D58" s="2" t="s">
        <v>287</v>
      </c>
      <c r="E58" s="2" t="s">
        <v>228</v>
      </c>
      <c r="F58" s="2" t="s">
        <v>228</v>
      </c>
      <c r="G58" s="2" t="s">
        <v>228</v>
      </c>
      <c r="H58" s="2" t="s">
        <v>866</v>
      </c>
      <c r="I58" s="2" t="s">
        <v>866</v>
      </c>
      <c r="J58" s="2" t="s">
        <v>4627</v>
      </c>
      <c r="K58" s="2" t="s">
        <v>228</v>
      </c>
      <c r="L58" s="2" t="s">
        <v>866</v>
      </c>
      <c r="M58" s="2" t="s">
        <v>4686</v>
      </c>
      <c r="N58" s="2" t="s">
        <v>919</v>
      </c>
      <c r="O58" s="2" t="s">
        <v>4642</v>
      </c>
      <c r="P58" s="2" t="s">
        <v>4450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45" x14ac:dyDescent="0.25">
      <c r="A59" s="2" t="s">
        <v>98</v>
      </c>
      <c r="B59" s="2" t="s">
        <v>4687</v>
      </c>
      <c r="C59" s="2" t="s">
        <v>625</v>
      </c>
      <c r="D59" s="2" t="s">
        <v>4688</v>
      </c>
      <c r="E59" s="2" t="s">
        <v>866</v>
      </c>
      <c r="F59" s="2" t="s">
        <v>228</v>
      </c>
      <c r="G59" s="2" t="s">
        <v>866</v>
      </c>
      <c r="H59" s="2" t="s">
        <v>866</v>
      </c>
      <c r="I59" s="2" t="s">
        <v>708</v>
      </c>
      <c r="J59" s="2" t="s">
        <v>4447</v>
      </c>
      <c r="K59" s="2" t="s">
        <v>228</v>
      </c>
      <c r="L59" s="2" t="s">
        <v>4689</v>
      </c>
      <c r="M59" s="2" t="s">
        <v>4411</v>
      </c>
      <c r="N59" s="2" t="s">
        <v>919</v>
      </c>
      <c r="O59" s="2" t="s">
        <v>4690</v>
      </c>
      <c r="P59" s="2" t="s">
        <v>4450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75" x14ac:dyDescent="0.25">
      <c r="A60" s="2" t="s">
        <v>99</v>
      </c>
      <c r="B60" s="2" t="s">
        <v>4691</v>
      </c>
      <c r="C60" s="2" t="s">
        <v>4692</v>
      </c>
      <c r="D60" s="2" t="s">
        <v>1079</v>
      </c>
      <c r="E60" s="2" t="s">
        <v>4693</v>
      </c>
      <c r="F60" s="2" t="s">
        <v>228</v>
      </c>
      <c r="G60" s="2" t="s">
        <v>866</v>
      </c>
      <c r="H60" s="2" t="s">
        <v>4446</v>
      </c>
      <c r="I60" s="2" t="s">
        <v>4694</v>
      </c>
      <c r="J60" s="2" t="s">
        <v>4695</v>
      </c>
      <c r="K60" s="2" t="s">
        <v>228</v>
      </c>
      <c r="L60" s="2" t="s">
        <v>4696</v>
      </c>
      <c r="M60" s="2" t="s">
        <v>1631</v>
      </c>
      <c r="N60" s="2" t="s">
        <v>919</v>
      </c>
      <c r="O60" s="2" t="s">
        <v>4697</v>
      </c>
      <c r="P60" s="2" t="s">
        <v>4450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90" x14ac:dyDescent="0.25">
      <c r="A61" s="2" t="s">
        <v>99</v>
      </c>
      <c r="B61" s="2" t="s">
        <v>4698</v>
      </c>
      <c r="C61" s="2" t="s">
        <v>4699</v>
      </c>
      <c r="D61" s="2" t="s">
        <v>4598</v>
      </c>
      <c r="E61" s="2" t="s">
        <v>900</v>
      </c>
      <c r="F61" s="2" t="s">
        <v>228</v>
      </c>
      <c r="G61" s="2" t="s">
        <v>900</v>
      </c>
      <c r="H61" s="2" t="s">
        <v>4546</v>
      </c>
      <c r="I61" s="2" t="s">
        <v>4700</v>
      </c>
      <c r="J61" s="2" t="s">
        <v>4701</v>
      </c>
      <c r="K61" s="2" t="s">
        <v>228</v>
      </c>
      <c r="L61" s="2" t="s">
        <v>4702</v>
      </c>
      <c r="M61" s="2" t="s">
        <v>1631</v>
      </c>
      <c r="N61" s="2" t="s">
        <v>919</v>
      </c>
      <c r="O61" s="2" t="s">
        <v>4703</v>
      </c>
      <c r="P61" s="2" t="s">
        <v>4450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90" x14ac:dyDescent="0.25">
      <c r="A62" s="2" t="s">
        <v>99</v>
      </c>
      <c r="B62" s="2" t="s">
        <v>4698</v>
      </c>
      <c r="C62" s="2" t="s">
        <v>4704</v>
      </c>
      <c r="D62" s="2" t="s">
        <v>4598</v>
      </c>
      <c r="E62" s="2" t="s">
        <v>900</v>
      </c>
      <c r="F62" s="2" t="s">
        <v>228</v>
      </c>
      <c r="G62" s="2" t="s">
        <v>900</v>
      </c>
      <c r="H62" s="2" t="s">
        <v>4546</v>
      </c>
      <c r="I62" s="2" t="s">
        <v>4700</v>
      </c>
      <c r="J62" s="2" t="s">
        <v>4701</v>
      </c>
      <c r="K62" s="2" t="s">
        <v>228</v>
      </c>
      <c r="L62" s="2" t="s">
        <v>4705</v>
      </c>
      <c r="M62" s="2" t="s">
        <v>1631</v>
      </c>
      <c r="N62" s="2" t="s">
        <v>919</v>
      </c>
      <c r="O62" s="2" t="s">
        <v>4703</v>
      </c>
      <c r="P62" s="2" t="s">
        <v>4450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90" x14ac:dyDescent="0.25">
      <c r="A63" s="2" t="s">
        <v>99</v>
      </c>
      <c r="B63" s="2" t="s">
        <v>4698</v>
      </c>
      <c r="C63" s="2" t="s">
        <v>4706</v>
      </c>
      <c r="D63" s="2" t="s">
        <v>4598</v>
      </c>
      <c r="E63" s="2" t="s">
        <v>900</v>
      </c>
      <c r="F63" s="2" t="s">
        <v>228</v>
      </c>
      <c r="G63" s="2" t="s">
        <v>900</v>
      </c>
      <c r="H63" s="2" t="s">
        <v>4546</v>
      </c>
      <c r="I63" s="2" t="s">
        <v>4700</v>
      </c>
      <c r="J63" s="2" t="s">
        <v>4701</v>
      </c>
      <c r="K63" s="2" t="s">
        <v>228</v>
      </c>
      <c r="L63" s="2" t="s">
        <v>4707</v>
      </c>
      <c r="M63" s="2" t="s">
        <v>1631</v>
      </c>
      <c r="N63" s="2" t="s">
        <v>919</v>
      </c>
      <c r="O63" s="2" t="s">
        <v>4703</v>
      </c>
      <c r="P63" s="2" t="s">
        <v>4450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05" x14ac:dyDescent="0.25">
      <c r="A64" s="2" t="s">
        <v>99</v>
      </c>
      <c r="B64" s="2" t="s">
        <v>4698</v>
      </c>
      <c r="C64" s="2" t="s">
        <v>4708</v>
      </c>
      <c r="D64" s="2" t="s">
        <v>4598</v>
      </c>
      <c r="E64" s="2" t="s">
        <v>900</v>
      </c>
      <c r="F64" s="2" t="s">
        <v>228</v>
      </c>
      <c r="G64" s="2" t="s">
        <v>900</v>
      </c>
      <c r="H64" s="2" t="s">
        <v>4546</v>
      </c>
      <c r="I64" s="2" t="s">
        <v>4700</v>
      </c>
      <c r="J64" s="2" t="s">
        <v>4701</v>
      </c>
      <c r="K64" s="2" t="s">
        <v>228</v>
      </c>
      <c r="L64" s="2" t="s">
        <v>4709</v>
      </c>
      <c r="M64" s="2" t="s">
        <v>1631</v>
      </c>
      <c r="N64" s="2" t="s">
        <v>919</v>
      </c>
      <c r="O64" s="2" t="s">
        <v>4703</v>
      </c>
      <c r="P64" s="2" t="s">
        <v>4450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</sheetData>
  <mergeCells count="1">
    <mergeCell ref="A1:AF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39"/>
  <sheetViews>
    <sheetView workbookViewId="0">
      <pane xSplit="2" ySplit="2" topLeftCell="W24" activePane="bottomRight" state="frozen"/>
      <selection pane="topRight" activeCell="C1" sqref="C1"/>
      <selection pane="bottomLeft" activeCell="A3" sqref="A3"/>
      <selection pane="bottomRight" activeCell="AA39" sqref="AA39"/>
    </sheetView>
  </sheetViews>
  <sheetFormatPr defaultRowHeight="15" x14ac:dyDescent="0.25"/>
  <cols>
    <col min="1" max="1" width="36" customWidth="1"/>
    <col min="2" max="32" width="20" customWidth="1"/>
  </cols>
  <sheetData>
    <row r="1" spans="1:32" ht="27.95" customHeight="1" x14ac:dyDescent="0.25">
      <c r="A1" s="26" t="str">
        <f>IFERROR(HYPERLINK("#'Sheet Directory'!A1","Free vs Paid Feature Entitlements"),"Free vs Paid Feature Entitlements")</f>
        <v>Free vs Paid Feature Entitlements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7"/>
    </row>
    <row r="2" spans="1:32" ht="33.950000000000003" customHeight="1" x14ac:dyDescent="0.25">
      <c r="A2" s="12" t="s">
        <v>1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79</v>
      </c>
      <c r="L2" s="12" t="s">
        <v>80</v>
      </c>
      <c r="M2" s="12" t="s">
        <v>81</v>
      </c>
      <c r="N2" s="12" t="s">
        <v>82</v>
      </c>
      <c r="O2" s="12" t="s">
        <v>83</v>
      </c>
      <c r="P2" s="12" t="s">
        <v>84</v>
      </c>
      <c r="Q2" s="12" t="s">
        <v>85</v>
      </c>
      <c r="R2" s="12" t="s">
        <v>86</v>
      </c>
      <c r="S2" s="12" t="s">
        <v>87</v>
      </c>
      <c r="T2" s="12" t="s">
        <v>88</v>
      </c>
      <c r="U2" s="12" t="s">
        <v>89</v>
      </c>
      <c r="V2" s="12" t="s">
        <v>90</v>
      </c>
      <c r="W2" s="12" t="s">
        <v>91</v>
      </c>
      <c r="X2" s="12" t="s">
        <v>92</v>
      </c>
      <c r="Y2" s="12" t="s">
        <v>93</v>
      </c>
      <c r="Z2" s="12" t="s">
        <v>94</v>
      </c>
      <c r="AA2" s="18" t="s">
        <v>95</v>
      </c>
      <c r="AB2" s="12" t="s">
        <v>96</v>
      </c>
      <c r="AC2" s="12" t="s">
        <v>97</v>
      </c>
      <c r="AD2" s="12" t="s">
        <v>98</v>
      </c>
      <c r="AE2" s="12" t="s">
        <v>99</v>
      </c>
      <c r="AF2" s="20" t="s">
        <v>100</v>
      </c>
    </row>
    <row r="3" spans="1:32" ht="23.1" customHeight="1" x14ac:dyDescent="0.25">
      <c r="A3" s="15" t="s">
        <v>4710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5"/>
      <c r="AC3" s="15"/>
      <c r="AD3" s="15"/>
      <c r="AE3" s="15"/>
    </row>
    <row r="4" spans="1:32" ht="36" customHeight="1" x14ac:dyDescent="0.25">
      <c r="A4" s="14" t="s">
        <v>4711</v>
      </c>
      <c r="B4" s="13" t="s">
        <v>215</v>
      </c>
      <c r="C4" s="13"/>
      <c r="D4" s="13"/>
      <c r="E4" s="13" t="s">
        <v>215</v>
      </c>
      <c r="F4" s="13"/>
      <c r="G4" s="13" t="s">
        <v>1883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7" t="s">
        <v>215</v>
      </c>
      <c r="AB4" s="13"/>
      <c r="AC4" s="13"/>
      <c r="AD4" s="13"/>
      <c r="AE4" s="13"/>
      <c r="AF4" t="s">
        <v>4712</v>
      </c>
    </row>
    <row r="5" spans="1:32" ht="36" customHeight="1" x14ac:dyDescent="0.25">
      <c r="A5" s="14" t="s">
        <v>4713</v>
      </c>
      <c r="B5" s="13" t="s">
        <v>665</v>
      </c>
      <c r="C5" s="13"/>
      <c r="D5" s="13"/>
      <c r="E5" s="13" t="s">
        <v>666</v>
      </c>
      <c r="F5" s="13"/>
      <c r="G5" s="13" t="s">
        <v>1883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 t="s">
        <v>672</v>
      </c>
      <c r="T5" s="13"/>
      <c r="U5" s="13"/>
      <c r="V5" s="13"/>
      <c r="W5" s="13"/>
      <c r="X5" s="13"/>
      <c r="Y5" s="13"/>
      <c r="Z5" s="13"/>
      <c r="AA5" s="17" t="s">
        <v>4714</v>
      </c>
      <c r="AB5" s="13"/>
      <c r="AC5" s="13"/>
      <c r="AD5" s="13"/>
      <c r="AE5" s="13"/>
      <c r="AF5" t="s">
        <v>4712</v>
      </c>
    </row>
    <row r="6" spans="1:32" ht="36" customHeight="1" x14ac:dyDescent="0.25">
      <c r="A6" s="14" t="s">
        <v>4715</v>
      </c>
      <c r="B6" s="13" t="s">
        <v>215</v>
      </c>
      <c r="C6" s="13"/>
      <c r="D6" s="13"/>
      <c r="E6" s="13" t="s">
        <v>215</v>
      </c>
      <c r="F6" s="13"/>
      <c r="G6" s="13" t="s">
        <v>251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 t="s">
        <v>215</v>
      </c>
      <c r="AB6" s="13"/>
      <c r="AC6" s="13"/>
      <c r="AD6" s="13"/>
      <c r="AE6" s="13"/>
      <c r="AF6" t="s">
        <v>4712</v>
      </c>
    </row>
    <row r="7" spans="1:32" ht="36" customHeight="1" x14ac:dyDescent="0.25">
      <c r="A7" s="14" t="s">
        <v>4716</v>
      </c>
      <c r="B7" s="13" t="s">
        <v>665</v>
      </c>
      <c r="C7" s="13"/>
      <c r="D7" s="13"/>
      <c r="E7" s="13" t="s">
        <v>666</v>
      </c>
      <c r="F7" s="13"/>
      <c r="G7" s="13" t="s">
        <v>1883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 t="s">
        <v>672</v>
      </c>
      <c r="T7" s="13"/>
      <c r="U7" s="13"/>
      <c r="V7" s="13"/>
      <c r="W7" s="13"/>
      <c r="X7" s="13"/>
      <c r="Y7" s="13"/>
      <c r="Z7" s="13"/>
      <c r="AA7" s="17" t="s">
        <v>4717</v>
      </c>
      <c r="AB7" s="13"/>
      <c r="AC7" s="13"/>
      <c r="AD7" s="13"/>
      <c r="AE7" s="13"/>
      <c r="AF7" t="s">
        <v>4712</v>
      </c>
    </row>
    <row r="8" spans="1:32" ht="36" customHeight="1" x14ac:dyDescent="0.25">
      <c r="A8" s="14" t="s">
        <v>4718</v>
      </c>
      <c r="B8" s="13" t="s">
        <v>215</v>
      </c>
      <c r="C8" s="13"/>
      <c r="D8" s="13" t="s">
        <v>4719</v>
      </c>
      <c r="E8" s="13" t="s">
        <v>215</v>
      </c>
      <c r="F8" s="13"/>
      <c r="G8" s="13" t="s">
        <v>251</v>
      </c>
      <c r="H8" s="13" t="s">
        <v>251</v>
      </c>
      <c r="I8" s="13"/>
      <c r="J8" s="13" t="s">
        <v>4720</v>
      </c>
      <c r="K8" s="13" t="s">
        <v>215</v>
      </c>
      <c r="L8" s="13" t="s">
        <v>215</v>
      </c>
      <c r="M8" s="13" t="s">
        <v>215</v>
      </c>
      <c r="N8" s="13"/>
      <c r="O8" s="13" t="s">
        <v>4721</v>
      </c>
      <c r="P8" s="13"/>
      <c r="Q8" s="13"/>
      <c r="R8" s="13"/>
      <c r="S8" s="13"/>
      <c r="T8" s="13"/>
      <c r="U8" s="13"/>
      <c r="V8" s="13" t="s">
        <v>4722</v>
      </c>
      <c r="W8" s="13"/>
      <c r="X8" s="13"/>
      <c r="Y8" s="13"/>
      <c r="Z8" s="13"/>
      <c r="AA8" s="17" t="s">
        <v>215</v>
      </c>
      <c r="AB8" s="13"/>
      <c r="AC8" s="13"/>
      <c r="AD8" s="13" t="s">
        <v>215</v>
      </c>
      <c r="AE8" s="13"/>
      <c r="AF8" t="s">
        <v>4723</v>
      </c>
    </row>
    <row r="9" spans="1:32" ht="36" customHeight="1" x14ac:dyDescent="0.25">
      <c r="A9" s="14" t="s">
        <v>4724</v>
      </c>
      <c r="B9" s="13" t="s">
        <v>665</v>
      </c>
      <c r="C9" s="13"/>
      <c r="D9" s="13" t="s">
        <v>4725</v>
      </c>
      <c r="E9" s="13" t="s">
        <v>4726</v>
      </c>
      <c r="F9" s="13"/>
      <c r="G9" s="13" t="s">
        <v>251</v>
      </c>
      <c r="H9" s="13" t="s">
        <v>4727</v>
      </c>
      <c r="I9" s="13"/>
      <c r="J9" s="13" t="s">
        <v>4728</v>
      </c>
      <c r="K9" s="13" t="s">
        <v>4729</v>
      </c>
      <c r="L9" s="13" t="s">
        <v>4730</v>
      </c>
      <c r="M9" s="13" t="s">
        <v>4731</v>
      </c>
      <c r="N9" s="13"/>
      <c r="O9" s="13" t="s">
        <v>4732</v>
      </c>
      <c r="P9" s="13"/>
      <c r="Q9" s="13"/>
      <c r="R9" s="13"/>
      <c r="S9" s="13" t="s">
        <v>672</v>
      </c>
      <c r="T9" s="13"/>
      <c r="U9" s="13"/>
      <c r="V9" s="13" t="s">
        <v>4733</v>
      </c>
      <c r="W9" s="13"/>
      <c r="X9" s="13"/>
      <c r="Y9" s="13"/>
      <c r="Z9" s="13"/>
      <c r="AA9" s="17" t="s">
        <v>4734</v>
      </c>
      <c r="AB9" s="13"/>
      <c r="AC9" s="13"/>
      <c r="AD9" s="13" t="s">
        <v>4735</v>
      </c>
      <c r="AE9" s="13"/>
      <c r="AF9" t="s">
        <v>4736</v>
      </c>
    </row>
    <row r="10" spans="1:32" ht="36" customHeight="1" x14ac:dyDescent="0.25">
      <c r="A10" s="14" t="s">
        <v>4737</v>
      </c>
      <c r="B10" s="13" t="s">
        <v>215</v>
      </c>
      <c r="C10" s="13"/>
      <c r="D10" s="13"/>
      <c r="E10" s="13" t="s">
        <v>215</v>
      </c>
      <c r="F10" s="13"/>
      <c r="G10" s="13" t="s">
        <v>4738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7" t="s">
        <v>215</v>
      </c>
      <c r="AB10" s="13"/>
      <c r="AC10" s="13"/>
      <c r="AD10" s="13"/>
      <c r="AE10" s="13"/>
      <c r="AF10" t="s">
        <v>4712</v>
      </c>
    </row>
    <row r="11" spans="1:32" ht="36" customHeight="1" x14ac:dyDescent="0.25">
      <c r="A11" s="14" t="s">
        <v>4739</v>
      </c>
      <c r="B11" s="13" t="s">
        <v>4740</v>
      </c>
      <c r="C11" s="13"/>
      <c r="D11" s="13"/>
      <c r="E11" s="13" t="s">
        <v>666</v>
      </c>
      <c r="F11" s="13"/>
      <c r="G11" s="13" t="s">
        <v>1883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7" t="s">
        <v>215</v>
      </c>
      <c r="AB11" s="13"/>
      <c r="AC11" s="13"/>
      <c r="AD11" s="13"/>
      <c r="AE11" s="13"/>
      <c r="AF11" t="s">
        <v>4712</v>
      </c>
    </row>
    <row r="12" spans="1:32" ht="23.1" customHeight="1" x14ac:dyDescent="0.25">
      <c r="A12" s="15" t="s">
        <v>4741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5"/>
      <c r="AC12" s="15"/>
      <c r="AD12" s="15"/>
      <c r="AE12" s="15"/>
    </row>
    <row r="13" spans="1:32" ht="36" customHeight="1" x14ac:dyDescent="0.25">
      <c r="A13" s="14" t="s">
        <v>4742</v>
      </c>
      <c r="B13" s="13" t="s">
        <v>215</v>
      </c>
      <c r="C13" s="13"/>
      <c r="D13" s="13" t="s">
        <v>215</v>
      </c>
      <c r="E13" s="13" t="s">
        <v>215</v>
      </c>
      <c r="F13" s="13" t="s">
        <v>215</v>
      </c>
      <c r="G13" s="13" t="s">
        <v>4743</v>
      </c>
      <c r="H13" s="13" t="s">
        <v>4744</v>
      </c>
      <c r="I13" s="13"/>
      <c r="J13" s="13"/>
      <c r="K13" s="13"/>
      <c r="L13" s="13"/>
      <c r="M13" s="13"/>
      <c r="N13" s="13" t="s">
        <v>215</v>
      </c>
      <c r="O13" s="13" t="s">
        <v>215</v>
      </c>
      <c r="P13" s="13"/>
      <c r="Q13" s="13" t="s">
        <v>215</v>
      </c>
      <c r="R13" s="13"/>
      <c r="S13" s="13" t="s">
        <v>215</v>
      </c>
      <c r="T13" s="13"/>
      <c r="U13" s="13"/>
      <c r="V13" s="13"/>
      <c r="W13" s="13"/>
      <c r="X13" s="13"/>
      <c r="Y13" s="13"/>
      <c r="Z13" s="13"/>
      <c r="AA13" s="17" t="s">
        <v>215</v>
      </c>
      <c r="AB13" s="13"/>
      <c r="AC13" s="13"/>
      <c r="AD13" s="13"/>
      <c r="AE13" s="13"/>
      <c r="AF13" t="s">
        <v>215</v>
      </c>
    </row>
    <row r="14" spans="1:32" ht="36" customHeight="1" x14ac:dyDescent="0.25">
      <c r="A14" s="14" t="s">
        <v>4745</v>
      </c>
      <c r="B14" s="13" t="s">
        <v>4746</v>
      </c>
      <c r="C14" s="13"/>
      <c r="D14" s="13" t="s">
        <v>4747</v>
      </c>
      <c r="E14" s="13" t="s">
        <v>4748</v>
      </c>
      <c r="F14" s="13"/>
      <c r="G14" s="13" t="s">
        <v>1883</v>
      </c>
      <c r="H14" s="13" t="s">
        <v>1031</v>
      </c>
      <c r="I14" s="13"/>
      <c r="J14" s="13"/>
      <c r="K14" s="13"/>
      <c r="L14" s="13"/>
      <c r="M14" s="13"/>
      <c r="N14" s="13" t="s">
        <v>4749</v>
      </c>
      <c r="O14" s="13" t="s">
        <v>670</v>
      </c>
      <c r="P14" s="13"/>
      <c r="Q14" s="13" t="s">
        <v>4750</v>
      </c>
      <c r="R14" s="13"/>
      <c r="S14" s="13" t="s">
        <v>670</v>
      </c>
      <c r="T14" s="13"/>
      <c r="U14" s="13"/>
      <c r="V14" s="13"/>
      <c r="W14" s="13"/>
      <c r="X14" s="13"/>
      <c r="Y14" s="13"/>
      <c r="Z14" s="13"/>
      <c r="AA14" s="17" t="s">
        <v>4751</v>
      </c>
      <c r="AB14" s="13"/>
      <c r="AC14" s="13"/>
      <c r="AD14" s="13"/>
      <c r="AE14" s="13"/>
      <c r="AF14" t="s">
        <v>4736</v>
      </c>
    </row>
    <row r="15" spans="1:32" ht="36" customHeight="1" x14ac:dyDescent="0.25">
      <c r="A15" s="14" t="s">
        <v>4752</v>
      </c>
      <c r="B15" s="13" t="s">
        <v>215</v>
      </c>
      <c r="C15" s="13"/>
      <c r="D15" s="13"/>
      <c r="E15" s="13" t="s">
        <v>215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7" t="s">
        <v>215</v>
      </c>
      <c r="AB15" s="13"/>
      <c r="AC15" s="13"/>
      <c r="AD15" s="13"/>
      <c r="AE15" s="13"/>
      <c r="AF15" t="s">
        <v>4753</v>
      </c>
    </row>
    <row r="16" spans="1:32" ht="36" customHeight="1" x14ac:dyDescent="0.25">
      <c r="A16" s="14" t="s">
        <v>4754</v>
      </c>
      <c r="B16" s="13" t="s">
        <v>4755</v>
      </c>
      <c r="C16" s="13"/>
      <c r="D16" s="13"/>
      <c r="E16" s="13" t="s">
        <v>4756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7"/>
      <c r="AB16" s="13"/>
      <c r="AC16" s="13"/>
      <c r="AD16" s="13"/>
      <c r="AE16" s="13"/>
      <c r="AF16" t="s">
        <v>4753</v>
      </c>
    </row>
    <row r="17" spans="1:32" ht="36" customHeight="1" x14ac:dyDescent="0.25">
      <c r="A17" s="14" t="s">
        <v>4757</v>
      </c>
      <c r="B17" s="13" t="s">
        <v>215</v>
      </c>
      <c r="C17" s="13"/>
      <c r="D17" s="13"/>
      <c r="E17" s="13" t="s">
        <v>215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7" t="s">
        <v>215</v>
      </c>
      <c r="AB17" s="13"/>
      <c r="AC17" s="13"/>
      <c r="AD17" s="13"/>
      <c r="AE17" s="13"/>
      <c r="AF17" t="s">
        <v>215</v>
      </c>
    </row>
    <row r="18" spans="1:32" ht="36" customHeight="1" x14ac:dyDescent="0.25">
      <c r="A18" s="14" t="s">
        <v>4758</v>
      </c>
      <c r="B18" s="13" t="s">
        <v>4759</v>
      </c>
      <c r="C18" s="13"/>
      <c r="D18" s="13"/>
      <c r="E18" s="13" t="s">
        <v>4756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7"/>
      <c r="AB18" s="13"/>
      <c r="AC18" s="13"/>
      <c r="AD18" s="13"/>
      <c r="AE18" s="13"/>
      <c r="AF18" t="s">
        <v>4736</v>
      </c>
    </row>
    <row r="19" spans="1:32" ht="36" customHeight="1" x14ac:dyDescent="0.25">
      <c r="A19" s="14" t="s">
        <v>4760</v>
      </c>
      <c r="B19" s="13" t="s">
        <v>266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7" t="s">
        <v>215</v>
      </c>
      <c r="AB19" s="13"/>
      <c r="AC19" s="13"/>
      <c r="AD19" s="13"/>
      <c r="AE19" s="13"/>
      <c r="AF19" t="s">
        <v>4753</v>
      </c>
    </row>
    <row r="20" spans="1:32" ht="23.1" customHeight="1" x14ac:dyDescent="0.25">
      <c r="A20" s="15" t="s">
        <v>4761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15"/>
      <c r="AC20" s="15"/>
      <c r="AD20" s="15"/>
      <c r="AE20" s="15"/>
      <c r="AF20" t="s">
        <v>4753</v>
      </c>
    </row>
    <row r="21" spans="1:32" ht="36" customHeight="1" x14ac:dyDescent="0.25">
      <c r="A21" s="14" t="s">
        <v>4762</v>
      </c>
      <c r="B21" s="13" t="s">
        <v>215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 t="s">
        <v>215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7" t="s">
        <v>215</v>
      </c>
      <c r="AB21" s="13"/>
      <c r="AC21" s="13"/>
      <c r="AD21" s="13"/>
      <c r="AE21" s="13"/>
      <c r="AF21" t="s">
        <v>215</v>
      </c>
    </row>
    <row r="22" spans="1:32" ht="36" customHeight="1" x14ac:dyDescent="0.25">
      <c r="A22" s="14" t="s">
        <v>4763</v>
      </c>
      <c r="B22" s="13" t="s">
        <v>4764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 t="s">
        <v>4765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7" t="s">
        <v>4766</v>
      </c>
      <c r="AB22" s="13"/>
      <c r="AC22" s="13"/>
      <c r="AD22" s="13"/>
      <c r="AE22" s="13"/>
      <c r="AF22" t="s">
        <v>4736</v>
      </c>
    </row>
    <row r="23" spans="1:32" ht="23.1" customHeight="1" x14ac:dyDescent="0.25">
      <c r="A23" s="15" t="s">
        <v>4767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15"/>
      <c r="AC23" s="15"/>
      <c r="AD23" s="15"/>
      <c r="AE23" s="15"/>
    </row>
    <row r="24" spans="1:32" ht="36" customHeight="1" x14ac:dyDescent="0.25">
      <c r="A24" s="14" t="s">
        <v>4768</v>
      </c>
      <c r="B24" s="13" t="s">
        <v>215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7" t="s">
        <v>215</v>
      </c>
      <c r="AB24" s="13"/>
      <c r="AC24" s="13"/>
      <c r="AD24" s="13"/>
      <c r="AE24" s="13"/>
      <c r="AF24" t="s">
        <v>4753</v>
      </c>
    </row>
    <row r="25" spans="1:32" ht="36" customHeight="1" x14ac:dyDescent="0.25">
      <c r="A25" s="14" t="s">
        <v>4769</v>
      </c>
      <c r="B25" s="13" t="s">
        <v>4770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7" t="s">
        <v>1952</v>
      </c>
      <c r="AB25" s="13"/>
      <c r="AC25" s="13"/>
      <c r="AD25" s="13"/>
      <c r="AE25" s="13"/>
      <c r="AF25" t="s">
        <v>4753</v>
      </c>
    </row>
    <row r="26" spans="1:32" ht="36" customHeight="1" x14ac:dyDescent="0.25">
      <c r="A26" s="14" t="s">
        <v>4771</v>
      </c>
      <c r="B26" s="13" t="s">
        <v>4772</v>
      </c>
      <c r="C26" s="13"/>
      <c r="D26" s="13"/>
      <c r="E26" s="13"/>
      <c r="F26" s="13"/>
      <c r="G26" s="13" t="s">
        <v>4773</v>
      </c>
      <c r="H26" s="13" t="s">
        <v>4774</v>
      </c>
      <c r="I26" s="13" t="s">
        <v>4775</v>
      </c>
      <c r="J26" s="13" t="s">
        <v>4776</v>
      </c>
      <c r="K26" s="13"/>
      <c r="L26" s="13"/>
      <c r="M26" s="13"/>
      <c r="N26" s="13" t="s">
        <v>4777</v>
      </c>
      <c r="O26" s="13"/>
      <c r="P26" s="13"/>
      <c r="Q26" s="13"/>
      <c r="R26" s="13"/>
      <c r="S26" s="13" t="s">
        <v>4778</v>
      </c>
      <c r="T26" s="13"/>
      <c r="U26" s="13" t="s">
        <v>4779</v>
      </c>
      <c r="V26" s="13" t="s">
        <v>4780</v>
      </c>
      <c r="W26" s="13"/>
      <c r="X26" s="13"/>
      <c r="Y26" s="13"/>
      <c r="Z26" s="13" t="s">
        <v>4781</v>
      </c>
      <c r="AA26" s="17" t="s">
        <v>4782</v>
      </c>
      <c r="AB26" s="13"/>
      <c r="AC26" s="13"/>
      <c r="AD26" s="13"/>
      <c r="AE26" s="13" t="s">
        <v>4783</v>
      </c>
      <c r="AF26" t="s">
        <v>4784</v>
      </c>
    </row>
    <row r="27" spans="1:32" ht="36" customHeight="1" x14ac:dyDescent="0.25">
      <c r="A27" s="14" t="s">
        <v>4785</v>
      </c>
      <c r="B27" s="13" t="s">
        <v>4786</v>
      </c>
      <c r="C27" s="13"/>
      <c r="D27" s="13" t="s">
        <v>4787</v>
      </c>
      <c r="E27" s="13" t="s">
        <v>4788</v>
      </c>
      <c r="F27" s="13" t="s">
        <v>4789</v>
      </c>
      <c r="G27" s="13" t="s">
        <v>4773</v>
      </c>
      <c r="H27" s="13" t="s">
        <v>4774</v>
      </c>
      <c r="I27" s="13" t="s">
        <v>228</v>
      </c>
      <c r="J27" s="13"/>
      <c r="K27" s="13"/>
      <c r="L27" s="13"/>
      <c r="M27" s="13"/>
      <c r="N27" s="13" t="s">
        <v>4790</v>
      </c>
      <c r="O27" s="13" t="s">
        <v>4791</v>
      </c>
      <c r="P27" s="13"/>
      <c r="Q27" s="13" t="s">
        <v>4791</v>
      </c>
      <c r="R27" s="13"/>
      <c r="S27" s="13" t="s">
        <v>4778</v>
      </c>
      <c r="T27" s="13"/>
      <c r="U27" s="13"/>
      <c r="V27" s="13" t="s">
        <v>4780</v>
      </c>
      <c r="W27" s="13"/>
      <c r="X27" s="13"/>
      <c r="Y27" s="13"/>
      <c r="Z27" s="13" t="s">
        <v>4781</v>
      </c>
      <c r="AA27" s="17" t="s">
        <v>5866</v>
      </c>
      <c r="AB27" s="13" t="s">
        <v>4792</v>
      </c>
      <c r="AC27" s="13"/>
      <c r="AD27" s="13"/>
      <c r="AE27" s="13" t="s">
        <v>4793</v>
      </c>
      <c r="AF27" t="s">
        <v>4794</v>
      </c>
    </row>
    <row r="28" spans="1:32" ht="36" customHeight="1" x14ac:dyDescent="0.25">
      <c r="A28" s="14" t="s">
        <v>4795</v>
      </c>
      <c r="B28" s="13" t="s">
        <v>4796</v>
      </c>
      <c r="C28" s="13"/>
      <c r="D28" s="13" t="s">
        <v>4797</v>
      </c>
      <c r="E28" s="13" t="s">
        <v>4798</v>
      </c>
      <c r="F28" s="13" t="s">
        <v>4799</v>
      </c>
      <c r="G28" s="13" t="s">
        <v>4800</v>
      </c>
      <c r="H28" s="13" t="s">
        <v>4774</v>
      </c>
      <c r="I28" s="13" t="s">
        <v>228</v>
      </c>
      <c r="J28" s="13"/>
      <c r="K28" s="13" t="s">
        <v>4801</v>
      </c>
      <c r="L28" s="13"/>
      <c r="M28" s="13" t="s">
        <v>4802</v>
      </c>
      <c r="N28" s="13" t="s">
        <v>4803</v>
      </c>
      <c r="O28" s="13" t="s">
        <v>4791</v>
      </c>
      <c r="P28" s="13"/>
      <c r="Q28" s="13"/>
      <c r="R28" s="13"/>
      <c r="S28" s="13" t="s">
        <v>4778</v>
      </c>
      <c r="T28" s="13"/>
      <c r="U28" s="13"/>
      <c r="V28" s="13" t="s">
        <v>4201</v>
      </c>
      <c r="W28" s="13"/>
      <c r="X28" s="13"/>
      <c r="Y28" s="13"/>
      <c r="Z28" s="13" t="s">
        <v>4781</v>
      </c>
      <c r="AA28" s="17" t="s">
        <v>5867</v>
      </c>
      <c r="AB28" s="13" t="s">
        <v>4791</v>
      </c>
      <c r="AC28" s="13"/>
      <c r="AD28" s="13"/>
      <c r="AE28" s="13"/>
      <c r="AF28" t="s">
        <v>4804</v>
      </c>
    </row>
    <row r="29" spans="1:32" ht="36" customHeight="1" x14ac:dyDescent="0.25">
      <c r="A29" s="14" t="s">
        <v>4805</v>
      </c>
      <c r="B29" s="13" t="s">
        <v>4806</v>
      </c>
      <c r="C29" s="13"/>
      <c r="D29" s="13"/>
      <c r="E29" s="13"/>
      <c r="F29" s="13" t="s">
        <v>4807</v>
      </c>
      <c r="G29" s="13" t="s">
        <v>300</v>
      </c>
      <c r="H29" s="13"/>
      <c r="I29" s="13"/>
      <c r="J29" s="13"/>
      <c r="K29" s="13"/>
      <c r="L29" s="13" t="s">
        <v>4808</v>
      </c>
      <c r="M29" s="13" t="s">
        <v>1835</v>
      </c>
      <c r="N29" s="13"/>
      <c r="O29" s="13"/>
      <c r="P29" s="13"/>
      <c r="Q29" s="13"/>
      <c r="R29" s="13"/>
      <c r="S29" s="13" t="s">
        <v>4809</v>
      </c>
      <c r="T29" s="13"/>
      <c r="U29" s="13"/>
      <c r="V29" s="13"/>
      <c r="W29" s="13"/>
      <c r="X29" s="13"/>
      <c r="Y29" s="13"/>
      <c r="Z29" s="13"/>
      <c r="AA29" s="17" t="s">
        <v>4810</v>
      </c>
      <c r="AB29" s="13"/>
      <c r="AC29" s="13"/>
      <c r="AD29" s="13"/>
      <c r="AE29" s="13" t="s">
        <v>4811</v>
      </c>
      <c r="AF29" t="s">
        <v>4812</v>
      </c>
    </row>
    <row r="30" spans="1:32" ht="36" customHeight="1" x14ac:dyDescent="0.25">
      <c r="A30" s="14" t="s">
        <v>4813</v>
      </c>
      <c r="B30" s="13" t="s">
        <v>4814</v>
      </c>
      <c r="C30" s="13"/>
      <c r="D30" s="13"/>
      <c r="E30" s="13"/>
      <c r="F30" s="13"/>
      <c r="G30" s="13" t="s">
        <v>300</v>
      </c>
      <c r="H30" s="13"/>
      <c r="I30" s="13"/>
      <c r="J30" s="13"/>
      <c r="K30" s="13" t="s">
        <v>4815</v>
      </c>
      <c r="L30" s="13" t="s">
        <v>4816</v>
      </c>
      <c r="M30" s="13" t="s">
        <v>4817</v>
      </c>
      <c r="N30" s="13"/>
      <c r="O30" s="13"/>
      <c r="P30" s="13"/>
      <c r="Q30" s="13"/>
      <c r="R30" s="13"/>
      <c r="S30" s="13" t="s">
        <v>4818</v>
      </c>
      <c r="T30" s="13"/>
      <c r="U30" s="13"/>
      <c r="V30" s="13"/>
      <c r="W30" s="13"/>
      <c r="X30" s="13"/>
      <c r="Y30" s="13"/>
      <c r="Z30" s="13"/>
      <c r="AA30" s="17" t="s">
        <v>4819</v>
      </c>
      <c r="AB30" s="13"/>
      <c r="AC30" s="13"/>
      <c r="AD30" s="13"/>
      <c r="AE30" s="13"/>
      <c r="AF30" t="s">
        <v>4820</v>
      </c>
    </row>
    <row r="31" spans="1:32" ht="36" customHeight="1" x14ac:dyDescent="0.25">
      <c r="A31" s="14" t="s">
        <v>4821</v>
      </c>
      <c r="B31" s="13" t="s">
        <v>4822</v>
      </c>
      <c r="C31" s="13"/>
      <c r="D31" s="13"/>
      <c r="E31" s="13"/>
      <c r="F31" s="13" t="s">
        <v>4823</v>
      </c>
      <c r="G31" s="13" t="s">
        <v>300</v>
      </c>
      <c r="H31" s="13"/>
      <c r="I31" s="13" t="s">
        <v>4824</v>
      </c>
      <c r="J31" s="13" t="s">
        <v>4825</v>
      </c>
      <c r="K31" s="13" t="s">
        <v>4826</v>
      </c>
      <c r="L31" s="13" t="s">
        <v>4827</v>
      </c>
      <c r="M31" s="13" t="s">
        <v>4828</v>
      </c>
      <c r="N31" s="13"/>
      <c r="O31" s="13"/>
      <c r="P31" s="13"/>
      <c r="Q31" s="13"/>
      <c r="R31" s="13"/>
      <c r="S31" s="13" t="s">
        <v>4818</v>
      </c>
      <c r="T31" s="13"/>
      <c r="U31" s="13"/>
      <c r="V31" s="13"/>
      <c r="W31" s="13"/>
      <c r="X31" s="13"/>
      <c r="Y31" s="13"/>
      <c r="Z31" s="13"/>
      <c r="AA31" s="17" t="s">
        <v>4829</v>
      </c>
      <c r="AB31" s="13"/>
      <c r="AC31" s="13"/>
      <c r="AD31" s="13"/>
      <c r="AE31" s="13"/>
      <c r="AF31" t="s">
        <v>4830</v>
      </c>
    </row>
    <row r="32" spans="1:32" ht="23.1" customHeight="1" x14ac:dyDescent="0.25">
      <c r="A32" s="15" t="s">
        <v>1623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5"/>
      <c r="AC32" s="15"/>
      <c r="AD32" s="15"/>
      <c r="AE32" s="15"/>
    </row>
    <row r="33" spans="1:32" ht="36" customHeight="1" x14ac:dyDescent="0.25">
      <c r="A33" s="14" t="s">
        <v>4831</v>
      </c>
      <c r="B33" s="13" t="s">
        <v>4832</v>
      </c>
      <c r="C33" s="13"/>
      <c r="D33" s="13" t="s">
        <v>4833</v>
      </c>
      <c r="E33" s="13" t="s">
        <v>4834</v>
      </c>
      <c r="F33" s="13" t="s">
        <v>4835</v>
      </c>
      <c r="G33" s="13" t="s">
        <v>4836</v>
      </c>
      <c r="H33" s="13" t="s">
        <v>4837</v>
      </c>
      <c r="I33" s="13" t="s">
        <v>4838</v>
      </c>
      <c r="J33" s="13" t="s">
        <v>4839</v>
      </c>
      <c r="K33" s="13" t="s">
        <v>4840</v>
      </c>
      <c r="L33" s="13" t="s">
        <v>4841</v>
      </c>
      <c r="M33" s="13" t="s">
        <v>4842</v>
      </c>
      <c r="N33" s="13" t="s">
        <v>4843</v>
      </c>
      <c r="O33" s="13" t="s">
        <v>4844</v>
      </c>
      <c r="P33" s="13" t="s">
        <v>4845</v>
      </c>
      <c r="Q33" s="13" t="s">
        <v>4846</v>
      </c>
      <c r="R33" s="13" t="s">
        <v>4847</v>
      </c>
      <c r="S33" s="13" t="s">
        <v>4848</v>
      </c>
      <c r="T33" s="13" t="s">
        <v>4849</v>
      </c>
      <c r="U33" s="13" t="s">
        <v>4850</v>
      </c>
      <c r="V33" s="13" t="s">
        <v>4851</v>
      </c>
      <c r="W33" s="13" t="s">
        <v>4852</v>
      </c>
      <c r="X33" s="13" t="s">
        <v>4853</v>
      </c>
      <c r="Y33" s="13" t="s">
        <v>4854</v>
      </c>
      <c r="Z33" s="13" t="s">
        <v>4855</v>
      </c>
      <c r="AA33" s="17" t="s">
        <v>4856</v>
      </c>
      <c r="AB33" s="13" t="s">
        <v>4857</v>
      </c>
      <c r="AC33" s="13" t="s">
        <v>4849</v>
      </c>
      <c r="AD33" s="13" t="s">
        <v>4858</v>
      </c>
      <c r="AE33" s="13" t="s">
        <v>4859</v>
      </c>
      <c r="AF33" t="s">
        <v>4860</v>
      </c>
    </row>
    <row r="34" spans="1:32" ht="23.1" customHeight="1" x14ac:dyDescent="0.25">
      <c r="A34" s="15" t="s">
        <v>4861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15"/>
      <c r="AC34" s="15"/>
      <c r="AD34" s="15"/>
      <c r="AE34" s="15"/>
    </row>
    <row r="35" spans="1:32" ht="36" customHeight="1" x14ac:dyDescent="0.25">
      <c r="A35" s="14" t="s">
        <v>4862</v>
      </c>
      <c r="B35" s="13" t="s">
        <v>1454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 t="s">
        <v>215</v>
      </c>
      <c r="AB35" s="13"/>
      <c r="AC35" s="13"/>
      <c r="AD35" s="13"/>
      <c r="AE35" s="13"/>
      <c r="AF35" t="s">
        <v>4863</v>
      </c>
    </row>
    <row r="36" spans="1:32" ht="36" customHeight="1" x14ac:dyDescent="0.25">
      <c r="A36" s="14" t="s">
        <v>4864</v>
      </c>
      <c r="B36" s="13" t="s">
        <v>228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7" t="s">
        <v>5868</v>
      </c>
      <c r="AB36" s="13"/>
      <c r="AC36" s="13"/>
      <c r="AD36" s="13"/>
      <c r="AE36" s="13"/>
      <c r="AF36" t="s">
        <v>4863</v>
      </c>
    </row>
    <row r="37" spans="1:32" ht="36" customHeight="1" x14ac:dyDescent="0.25">
      <c r="A37" s="14" t="s">
        <v>4865</v>
      </c>
      <c r="B37" s="13" t="s">
        <v>4866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7" t="s">
        <v>4867</v>
      </c>
      <c r="AB37" s="13"/>
      <c r="AC37" s="13"/>
      <c r="AD37" s="13"/>
      <c r="AE37" s="13"/>
      <c r="AF37" t="s">
        <v>4868</v>
      </c>
    </row>
    <row r="38" spans="1:32" ht="36" customHeight="1" x14ac:dyDescent="0.25">
      <c r="A38" s="14" t="s">
        <v>4869</v>
      </c>
      <c r="B38" s="13" t="s">
        <v>4870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7" t="s">
        <v>5869</v>
      </c>
      <c r="AB38" s="13"/>
      <c r="AC38" s="13"/>
      <c r="AD38" s="13"/>
      <c r="AE38" s="13"/>
      <c r="AF38" t="s">
        <v>4868</v>
      </c>
    </row>
    <row r="39" spans="1:32" ht="36" customHeight="1" x14ac:dyDescent="0.25">
      <c r="A39" s="14" t="s">
        <v>4871</v>
      </c>
      <c r="B39" s="13" t="s">
        <v>4872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7" t="s">
        <v>4873</v>
      </c>
      <c r="AB39" s="13"/>
      <c r="AC39" s="13"/>
      <c r="AD39" s="13"/>
      <c r="AE39" s="13"/>
      <c r="AF39" t="s">
        <v>4874</v>
      </c>
    </row>
  </sheetData>
  <mergeCells count="1">
    <mergeCell ref="A1:A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111"/>
  <sheetViews>
    <sheetView workbookViewId="0">
      <pane xSplit="2" ySplit="2" topLeftCell="G100" activePane="bottomRight" state="frozen"/>
      <selection pane="topRight" activeCell="C1" sqref="C1"/>
      <selection pane="bottomLeft" activeCell="A3" sqref="A3"/>
      <selection pane="bottomRight" activeCell="O108" sqref="O108"/>
    </sheetView>
  </sheetViews>
  <sheetFormatPr defaultRowHeight="15" x14ac:dyDescent="0.25"/>
  <cols>
    <col min="1" max="32" width="20" customWidth="1"/>
  </cols>
  <sheetData>
    <row r="1" spans="1:32" ht="27.95" customHeight="1" x14ac:dyDescent="0.3">
      <c r="A1" s="28" t="str">
        <f>IFERROR(HYPERLINK("#'Sheet Directory'!A1","Monetization Detail — current and intended revenue models, including per-user and per-server/community upgrades"),"Monetization Detail — current and intended revenue models, including per-user and per-server/community upgrades")</f>
        <v>Monetization Detail — current and intended revenue models, including per-user and per-server/community upgrades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4426</v>
      </c>
      <c r="B2" s="11" t="s">
        <v>4875</v>
      </c>
      <c r="C2" s="11" t="s">
        <v>4876</v>
      </c>
      <c r="D2" s="11" t="s">
        <v>4877</v>
      </c>
      <c r="E2" s="11" t="s">
        <v>4878</v>
      </c>
      <c r="F2" s="11" t="s">
        <v>4433</v>
      </c>
      <c r="G2" s="11" t="s">
        <v>4879</v>
      </c>
      <c r="H2" s="11" t="s">
        <v>4880</v>
      </c>
      <c r="I2" s="11" t="s">
        <v>4881</v>
      </c>
      <c r="J2" s="11" t="s">
        <v>4882</v>
      </c>
      <c r="K2" s="11" t="s">
        <v>4883</v>
      </c>
      <c r="L2" s="11" t="s">
        <v>4884</v>
      </c>
      <c r="M2" s="11" t="s">
        <v>4885</v>
      </c>
      <c r="N2" s="11" t="s">
        <v>4438</v>
      </c>
      <c r="O2" s="11" t="s">
        <v>4439</v>
      </c>
      <c r="P2" s="11" t="s">
        <v>4440</v>
      </c>
      <c r="Q2" s="11" t="s">
        <v>4441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75" x14ac:dyDescent="0.25">
      <c r="A3" s="2" t="s">
        <v>70</v>
      </c>
      <c r="B3" s="2" t="s">
        <v>4886</v>
      </c>
      <c r="C3" s="2" t="s">
        <v>4442</v>
      </c>
      <c r="D3" s="2" t="s">
        <v>4443</v>
      </c>
      <c r="E3" s="2" t="s">
        <v>4887</v>
      </c>
      <c r="F3" s="2" t="s">
        <v>4446</v>
      </c>
      <c r="G3" s="2" t="s">
        <v>4888</v>
      </c>
      <c r="H3" s="2" t="s">
        <v>687</v>
      </c>
      <c r="I3" s="2" t="s">
        <v>4447</v>
      </c>
      <c r="J3" s="2" t="s">
        <v>225</v>
      </c>
      <c r="K3" s="2" t="s">
        <v>215</v>
      </c>
      <c r="L3" s="2" t="s">
        <v>1079</v>
      </c>
      <c r="M3" s="2"/>
      <c r="N3" s="2" t="s">
        <v>4404</v>
      </c>
      <c r="O3" s="2" t="s">
        <v>919</v>
      </c>
      <c r="P3" s="2" t="s">
        <v>4449</v>
      </c>
      <c r="Q3" s="2" t="s">
        <v>4450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75" x14ac:dyDescent="0.25">
      <c r="A4" s="2" t="s">
        <v>70</v>
      </c>
      <c r="B4" s="2" t="s">
        <v>4886</v>
      </c>
      <c r="C4" s="2" t="s">
        <v>4442</v>
      </c>
      <c r="D4" s="2" t="s">
        <v>1950</v>
      </c>
      <c r="E4" s="2" t="s">
        <v>4889</v>
      </c>
      <c r="F4" s="2" t="s">
        <v>4446</v>
      </c>
      <c r="G4" s="2" t="s">
        <v>4888</v>
      </c>
      <c r="H4" s="2" t="s">
        <v>687</v>
      </c>
      <c r="I4" s="2" t="s">
        <v>4447</v>
      </c>
      <c r="J4" s="2" t="s">
        <v>225</v>
      </c>
      <c r="K4" s="2" t="s">
        <v>215</v>
      </c>
      <c r="L4" s="2" t="s">
        <v>1079</v>
      </c>
      <c r="M4" s="2"/>
      <c r="N4" s="2" t="s">
        <v>4404</v>
      </c>
      <c r="O4" s="2" t="s">
        <v>919</v>
      </c>
      <c r="P4" s="2" t="s">
        <v>4455</v>
      </c>
      <c r="Q4" s="2" t="s">
        <v>4450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75" x14ac:dyDescent="0.25">
      <c r="A5" s="2" t="s">
        <v>70</v>
      </c>
      <c r="B5" s="2" t="s">
        <v>4886</v>
      </c>
      <c r="C5" s="2" t="s">
        <v>4456</v>
      </c>
      <c r="D5" s="2" t="s">
        <v>4457</v>
      </c>
      <c r="E5" s="2" t="s">
        <v>4890</v>
      </c>
      <c r="F5" s="2" t="s">
        <v>4446</v>
      </c>
      <c r="G5" s="2" t="s">
        <v>4888</v>
      </c>
      <c r="H5" s="2" t="s">
        <v>4460</v>
      </c>
      <c r="I5" s="2" t="s">
        <v>4461</v>
      </c>
      <c r="J5" s="2" t="s">
        <v>215</v>
      </c>
      <c r="K5" s="2" t="s">
        <v>4609</v>
      </c>
      <c r="L5" s="2" t="s">
        <v>1079</v>
      </c>
      <c r="M5" s="2"/>
      <c r="N5" s="2" t="s">
        <v>4404</v>
      </c>
      <c r="O5" s="2" t="s">
        <v>919</v>
      </c>
      <c r="P5" s="2" t="s">
        <v>4464</v>
      </c>
      <c r="Q5" s="2" t="s">
        <v>4450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75" x14ac:dyDescent="0.25">
      <c r="A6" s="2" t="s">
        <v>70</v>
      </c>
      <c r="B6" s="2" t="s">
        <v>4891</v>
      </c>
      <c r="C6" s="2" t="s">
        <v>4465</v>
      </c>
      <c r="D6" s="2" t="s">
        <v>4466</v>
      </c>
      <c r="E6" s="2" t="s">
        <v>4890</v>
      </c>
      <c r="F6" s="2" t="s">
        <v>4446</v>
      </c>
      <c r="G6" s="2" t="s">
        <v>4888</v>
      </c>
      <c r="H6" s="2" t="s">
        <v>687</v>
      </c>
      <c r="I6" s="2" t="s">
        <v>4447</v>
      </c>
      <c r="J6" s="2" t="s">
        <v>225</v>
      </c>
      <c r="K6" s="2" t="s">
        <v>215</v>
      </c>
      <c r="L6" s="2" t="s">
        <v>4467</v>
      </c>
      <c r="M6" s="2"/>
      <c r="N6" s="2" t="s">
        <v>4404</v>
      </c>
      <c r="O6" s="2" t="s">
        <v>919</v>
      </c>
      <c r="P6" s="2" t="s">
        <v>4469</v>
      </c>
      <c r="Q6" s="2" t="s">
        <v>4450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45" x14ac:dyDescent="0.25">
      <c r="A7" s="2" t="s">
        <v>71</v>
      </c>
      <c r="B7" s="2" t="s">
        <v>4886</v>
      </c>
      <c r="C7" s="2" t="s">
        <v>4470</v>
      </c>
      <c r="D7" s="2" t="s">
        <v>4471</v>
      </c>
      <c r="E7" s="2" t="s">
        <v>228</v>
      </c>
      <c r="F7" s="2" t="s">
        <v>228</v>
      </c>
      <c r="G7" s="2" t="s">
        <v>4892</v>
      </c>
      <c r="H7" s="2" t="s">
        <v>228</v>
      </c>
      <c r="I7" s="2" t="s">
        <v>228</v>
      </c>
      <c r="J7" s="2" t="s">
        <v>225</v>
      </c>
      <c r="K7" s="2" t="s">
        <v>228</v>
      </c>
      <c r="L7" s="2" t="s">
        <v>287</v>
      </c>
      <c r="M7" s="2"/>
      <c r="N7" s="2" t="s">
        <v>4472</v>
      </c>
      <c r="O7" s="2" t="s">
        <v>919</v>
      </c>
      <c r="P7" s="2" t="s">
        <v>4473</v>
      </c>
      <c r="Q7" s="2" t="s">
        <v>4450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45" x14ac:dyDescent="0.25">
      <c r="A8" s="2" t="s">
        <v>72</v>
      </c>
      <c r="B8" s="2" t="s">
        <v>4893</v>
      </c>
      <c r="C8" s="2" t="s">
        <v>4474</v>
      </c>
      <c r="D8" s="2" t="s">
        <v>4475</v>
      </c>
      <c r="E8" s="2" t="s">
        <v>4894</v>
      </c>
      <c r="F8" s="2" t="s">
        <v>4446</v>
      </c>
      <c r="G8" s="2" t="s">
        <v>4888</v>
      </c>
      <c r="H8" s="2" t="s">
        <v>686</v>
      </c>
      <c r="I8" s="2" t="s">
        <v>4477</v>
      </c>
      <c r="J8" s="2" t="s">
        <v>225</v>
      </c>
      <c r="K8" s="2" t="s">
        <v>4477</v>
      </c>
      <c r="L8" s="2" t="s">
        <v>4476</v>
      </c>
      <c r="M8" s="2" t="s">
        <v>4479</v>
      </c>
      <c r="N8" s="2" t="s">
        <v>4405</v>
      </c>
      <c r="O8" s="2" t="s">
        <v>919</v>
      </c>
      <c r="P8" s="2" t="s">
        <v>4479</v>
      </c>
      <c r="Q8" s="2" t="s">
        <v>4450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45" x14ac:dyDescent="0.25">
      <c r="A9" s="2" t="s">
        <v>72</v>
      </c>
      <c r="B9" s="2" t="s">
        <v>4893</v>
      </c>
      <c r="C9" s="2" t="s">
        <v>4474</v>
      </c>
      <c r="D9" s="2" t="s">
        <v>4480</v>
      </c>
      <c r="E9" s="2" t="s">
        <v>4895</v>
      </c>
      <c r="F9" s="2" t="s">
        <v>4446</v>
      </c>
      <c r="G9" s="2" t="s">
        <v>4888</v>
      </c>
      <c r="H9" s="2" t="s">
        <v>686</v>
      </c>
      <c r="I9" s="2" t="s">
        <v>4477</v>
      </c>
      <c r="J9" s="2" t="s">
        <v>225</v>
      </c>
      <c r="K9" s="2" t="s">
        <v>4477</v>
      </c>
      <c r="L9" s="2" t="s">
        <v>4476</v>
      </c>
      <c r="M9" s="2" t="s">
        <v>4479</v>
      </c>
      <c r="N9" s="2" t="s">
        <v>4405</v>
      </c>
      <c r="O9" s="2" t="s">
        <v>919</v>
      </c>
      <c r="P9" s="2" t="s">
        <v>4479</v>
      </c>
      <c r="Q9" s="2" t="s">
        <v>4450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45" x14ac:dyDescent="0.25">
      <c r="A10" s="2" t="s">
        <v>72</v>
      </c>
      <c r="B10" s="2" t="s">
        <v>4893</v>
      </c>
      <c r="C10" s="2" t="s">
        <v>4474</v>
      </c>
      <c r="D10" s="2" t="s">
        <v>4482</v>
      </c>
      <c r="E10" s="2" t="s">
        <v>4896</v>
      </c>
      <c r="F10" s="2" t="s">
        <v>4446</v>
      </c>
      <c r="G10" s="2" t="s">
        <v>4888</v>
      </c>
      <c r="H10" s="2" t="s">
        <v>686</v>
      </c>
      <c r="I10" s="2" t="s">
        <v>4477</v>
      </c>
      <c r="J10" s="2" t="s">
        <v>225</v>
      </c>
      <c r="K10" s="2" t="s">
        <v>4477</v>
      </c>
      <c r="L10" s="2" t="s">
        <v>4476</v>
      </c>
      <c r="M10" s="2" t="s">
        <v>4479</v>
      </c>
      <c r="N10" s="2" t="s">
        <v>4405</v>
      </c>
      <c r="O10" s="2" t="s">
        <v>919</v>
      </c>
      <c r="P10" s="2" t="s">
        <v>4479</v>
      </c>
      <c r="Q10" s="2" t="s">
        <v>4450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30" x14ac:dyDescent="0.25">
      <c r="A11" s="2" t="s">
        <v>73</v>
      </c>
      <c r="B11" s="2" t="s">
        <v>4886</v>
      </c>
      <c r="C11" s="2" t="s">
        <v>4442</v>
      </c>
      <c r="D11" s="2" t="s">
        <v>616</v>
      </c>
      <c r="E11" s="2" t="s">
        <v>4890</v>
      </c>
      <c r="F11" s="2" t="s">
        <v>4446</v>
      </c>
      <c r="G11" s="2" t="s">
        <v>4888</v>
      </c>
      <c r="H11" s="2" t="s">
        <v>687</v>
      </c>
      <c r="I11" s="2" t="s">
        <v>4447</v>
      </c>
      <c r="J11" s="2" t="s">
        <v>225</v>
      </c>
      <c r="K11" s="2" t="s">
        <v>215</v>
      </c>
      <c r="L11" s="2" t="s">
        <v>1079</v>
      </c>
      <c r="M11" s="2"/>
      <c r="N11" s="2" t="s">
        <v>1626</v>
      </c>
      <c r="O11" s="2" t="s">
        <v>919</v>
      </c>
      <c r="P11" s="2" t="s">
        <v>4486</v>
      </c>
      <c r="Q11" s="2" t="s">
        <v>4450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90" x14ac:dyDescent="0.25">
      <c r="A12" s="2" t="s">
        <v>74</v>
      </c>
      <c r="B12" s="2" t="s">
        <v>4886</v>
      </c>
      <c r="C12" s="2" t="s">
        <v>4442</v>
      </c>
      <c r="D12" s="2" t="s">
        <v>617</v>
      </c>
      <c r="E12" s="2" t="s">
        <v>866</v>
      </c>
      <c r="F12" s="2" t="s">
        <v>4487</v>
      </c>
      <c r="G12" s="2" t="s">
        <v>4892</v>
      </c>
      <c r="H12" s="2" t="s">
        <v>687</v>
      </c>
      <c r="I12" s="2" t="s">
        <v>4447</v>
      </c>
      <c r="J12" s="2" t="s">
        <v>225</v>
      </c>
      <c r="K12" s="2" t="s">
        <v>215</v>
      </c>
      <c r="L12" s="2" t="s">
        <v>1079</v>
      </c>
      <c r="M12" s="2"/>
      <c r="N12" s="2" t="s">
        <v>1959</v>
      </c>
      <c r="O12" s="2" t="s">
        <v>919</v>
      </c>
      <c r="P12" s="2" t="s">
        <v>4490</v>
      </c>
      <c r="Q12" s="2" t="s">
        <v>4450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45" x14ac:dyDescent="0.25">
      <c r="A13" s="2" t="s">
        <v>75</v>
      </c>
      <c r="B13" s="2" t="s">
        <v>4886</v>
      </c>
      <c r="C13" s="2" t="s">
        <v>4491</v>
      </c>
      <c r="D13" s="2" t="s">
        <v>4492</v>
      </c>
      <c r="E13" s="2" t="s">
        <v>228</v>
      </c>
      <c r="F13" s="2" t="s">
        <v>4208</v>
      </c>
      <c r="G13" s="2" t="s">
        <v>4892</v>
      </c>
      <c r="H13" s="2" t="s">
        <v>4208</v>
      </c>
      <c r="I13" s="2" t="s">
        <v>4493</v>
      </c>
      <c r="J13" s="2" t="s">
        <v>225</v>
      </c>
      <c r="K13" s="2" t="s">
        <v>4493</v>
      </c>
      <c r="L13" s="2" t="s">
        <v>4208</v>
      </c>
      <c r="M13" s="2"/>
      <c r="N13" s="2" t="s">
        <v>4495</v>
      </c>
      <c r="O13" s="2" t="s">
        <v>919</v>
      </c>
      <c r="P13" s="2" t="s">
        <v>4496</v>
      </c>
      <c r="Q13" s="2" t="s">
        <v>4450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30" x14ac:dyDescent="0.25">
      <c r="A14" s="2" t="s">
        <v>76</v>
      </c>
      <c r="B14" s="2" t="s">
        <v>4886</v>
      </c>
      <c r="C14" s="2" t="s">
        <v>4470</v>
      </c>
      <c r="D14" s="2" t="s">
        <v>4497</v>
      </c>
      <c r="E14" s="2" t="s">
        <v>228</v>
      </c>
      <c r="F14" s="2" t="s">
        <v>228</v>
      </c>
      <c r="G14" s="2" t="s">
        <v>4892</v>
      </c>
      <c r="H14" s="2" t="s">
        <v>4498</v>
      </c>
      <c r="I14" s="2" t="s">
        <v>4499</v>
      </c>
      <c r="J14" s="2" t="s">
        <v>225</v>
      </c>
      <c r="K14" s="2" t="s">
        <v>4499</v>
      </c>
      <c r="L14" s="2" t="s">
        <v>276</v>
      </c>
      <c r="M14" s="2"/>
      <c r="N14" s="2" t="s">
        <v>764</v>
      </c>
      <c r="O14" s="2" t="s">
        <v>919</v>
      </c>
      <c r="P14" s="2" t="s">
        <v>4501</v>
      </c>
      <c r="Q14" s="2" t="s">
        <v>4450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45" x14ac:dyDescent="0.25">
      <c r="A15" s="2" t="s">
        <v>77</v>
      </c>
      <c r="B15" s="2" t="s">
        <v>4886</v>
      </c>
      <c r="C15" s="2" t="s">
        <v>4502</v>
      </c>
      <c r="D15" s="2" t="s">
        <v>4503</v>
      </c>
      <c r="E15" s="2" t="s">
        <v>228</v>
      </c>
      <c r="F15" s="2" t="s">
        <v>228</v>
      </c>
      <c r="G15" s="2" t="s">
        <v>4892</v>
      </c>
      <c r="H15" s="2" t="s">
        <v>4504</v>
      </c>
      <c r="I15" s="2" t="s">
        <v>4499</v>
      </c>
      <c r="J15" s="2" t="s">
        <v>225</v>
      </c>
      <c r="K15" s="2" t="s">
        <v>4499</v>
      </c>
      <c r="L15" s="2" t="s">
        <v>276</v>
      </c>
      <c r="M15" s="2"/>
      <c r="N15" s="2" t="s">
        <v>765</v>
      </c>
      <c r="O15" s="2" t="s">
        <v>919</v>
      </c>
      <c r="P15" s="2" t="s">
        <v>4506</v>
      </c>
      <c r="Q15" s="2" t="s">
        <v>4450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75" x14ac:dyDescent="0.25">
      <c r="A16" s="2" t="s">
        <v>78</v>
      </c>
      <c r="B16" s="2" t="s">
        <v>4886</v>
      </c>
      <c r="C16" s="2" t="s">
        <v>4507</v>
      </c>
      <c r="D16" s="2" t="s">
        <v>4508</v>
      </c>
      <c r="E16" s="2" t="s">
        <v>4897</v>
      </c>
      <c r="F16" s="2" t="s">
        <v>4446</v>
      </c>
      <c r="G16" s="2" t="s">
        <v>4888</v>
      </c>
      <c r="H16" s="2" t="s">
        <v>4510</v>
      </c>
      <c r="I16" s="2" t="s">
        <v>4511</v>
      </c>
      <c r="J16" s="2" t="s">
        <v>215</v>
      </c>
      <c r="K16" s="2" t="s">
        <v>4609</v>
      </c>
      <c r="L16" s="2" t="s">
        <v>1079</v>
      </c>
      <c r="M16" s="2"/>
      <c r="N16" s="2" t="s">
        <v>1627</v>
      </c>
      <c r="O16" s="2" t="s">
        <v>919</v>
      </c>
      <c r="P16" s="2" t="s">
        <v>4513</v>
      </c>
      <c r="Q16" s="2" t="s">
        <v>4450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75" x14ac:dyDescent="0.25">
      <c r="A17" s="2" t="s">
        <v>78</v>
      </c>
      <c r="B17" s="2" t="s">
        <v>4886</v>
      </c>
      <c r="C17" s="2" t="s">
        <v>4507</v>
      </c>
      <c r="D17" s="2" t="s">
        <v>4514</v>
      </c>
      <c r="E17" s="2" t="s">
        <v>4898</v>
      </c>
      <c r="F17" s="2" t="s">
        <v>4446</v>
      </c>
      <c r="G17" s="2" t="s">
        <v>4888</v>
      </c>
      <c r="H17" s="2" t="s">
        <v>4510</v>
      </c>
      <c r="I17" s="2" t="s">
        <v>4511</v>
      </c>
      <c r="J17" s="2" t="s">
        <v>215</v>
      </c>
      <c r="K17" s="2" t="s">
        <v>4609</v>
      </c>
      <c r="L17" s="2" t="s">
        <v>1079</v>
      </c>
      <c r="M17" s="2"/>
      <c r="N17" s="2" t="s">
        <v>1627</v>
      </c>
      <c r="O17" s="2" t="s">
        <v>919</v>
      </c>
      <c r="P17" s="2" t="s">
        <v>4513</v>
      </c>
      <c r="Q17" s="2" t="s">
        <v>4450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75" x14ac:dyDescent="0.25">
      <c r="A18" s="2" t="s">
        <v>78</v>
      </c>
      <c r="B18" s="2" t="s">
        <v>4886</v>
      </c>
      <c r="C18" s="2" t="s">
        <v>4507</v>
      </c>
      <c r="D18" s="2" t="s">
        <v>4518</v>
      </c>
      <c r="E18" s="2" t="s">
        <v>4899</v>
      </c>
      <c r="F18" s="2" t="s">
        <v>4446</v>
      </c>
      <c r="G18" s="2" t="s">
        <v>4888</v>
      </c>
      <c r="H18" s="2" t="s">
        <v>4510</v>
      </c>
      <c r="I18" s="2" t="s">
        <v>4511</v>
      </c>
      <c r="J18" s="2" t="s">
        <v>215</v>
      </c>
      <c r="K18" s="2" t="s">
        <v>4609</v>
      </c>
      <c r="L18" s="2" t="s">
        <v>1079</v>
      </c>
      <c r="M18" s="2"/>
      <c r="N18" s="2" t="s">
        <v>1627</v>
      </c>
      <c r="O18" s="2" t="s">
        <v>919</v>
      </c>
      <c r="P18" s="2" t="s">
        <v>4513</v>
      </c>
      <c r="Q18" s="2" t="s">
        <v>4450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75" x14ac:dyDescent="0.25">
      <c r="A19" s="2" t="s">
        <v>78</v>
      </c>
      <c r="B19" s="2" t="s">
        <v>4886</v>
      </c>
      <c r="C19" s="2" t="s">
        <v>4522</v>
      </c>
      <c r="D19" s="2" t="s">
        <v>4523</v>
      </c>
      <c r="E19" s="2" t="s">
        <v>4900</v>
      </c>
      <c r="F19" s="2" t="s">
        <v>4446</v>
      </c>
      <c r="G19" s="2" t="s">
        <v>4888</v>
      </c>
      <c r="H19" s="2" t="s">
        <v>4525</v>
      </c>
      <c r="I19" s="2" t="s">
        <v>4526</v>
      </c>
      <c r="J19" s="2" t="s">
        <v>4522</v>
      </c>
      <c r="K19" s="2" t="s">
        <v>4526</v>
      </c>
      <c r="L19" s="2" t="s">
        <v>1079</v>
      </c>
      <c r="M19" s="2"/>
      <c r="N19" s="2" t="s">
        <v>4528</v>
      </c>
      <c r="O19" s="2" t="s">
        <v>919</v>
      </c>
      <c r="P19" s="2" t="s">
        <v>4529</v>
      </c>
      <c r="Q19" s="2" t="s">
        <v>4450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75" x14ac:dyDescent="0.25">
      <c r="A20" s="2" t="s">
        <v>78</v>
      </c>
      <c r="B20" s="2" t="s">
        <v>4886</v>
      </c>
      <c r="C20" s="2" t="s">
        <v>4522</v>
      </c>
      <c r="D20" s="2" t="s">
        <v>4530</v>
      </c>
      <c r="E20" s="2" t="s">
        <v>4901</v>
      </c>
      <c r="F20" s="2" t="s">
        <v>4446</v>
      </c>
      <c r="G20" s="2" t="s">
        <v>4888</v>
      </c>
      <c r="H20" s="2" t="s">
        <v>4525</v>
      </c>
      <c r="I20" s="2" t="s">
        <v>4526</v>
      </c>
      <c r="J20" s="2" t="s">
        <v>4522</v>
      </c>
      <c r="K20" s="2" t="s">
        <v>4526</v>
      </c>
      <c r="L20" s="2" t="s">
        <v>1079</v>
      </c>
      <c r="M20" s="2"/>
      <c r="N20" s="2" t="s">
        <v>4528</v>
      </c>
      <c r="O20" s="2" t="s">
        <v>919</v>
      </c>
      <c r="P20" s="2" t="s">
        <v>4529</v>
      </c>
      <c r="Q20" s="2" t="s">
        <v>4450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75" x14ac:dyDescent="0.25">
      <c r="A21" s="2" t="s">
        <v>78</v>
      </c>
      <c r="B21" s="2" t="s">
        <v>4886</v>
      </c>
      <c r="C21" s="2" t="s">
        <v>4522</v>
      </c>
      <c r="D21" s="2" t="s">
        <v>4532</v>
      </c>
      <c r="E21" s="2" t="s">
        <v>4902</v>
      </c>
      <c r="F21" s="2" t="s">
        <v>4446</v>
      </c>
      <c r="G21" s="2" t="s">
        <v>4888</v>
      </c>
      <c r="H21" s="2" t="s">
        <v>4525</v>
      </c>
      <c r="I21" s="2" t="s">
        <v>4526</v>
      </c>
      <c r="J21" s="2" t="s">
        <v>4522</v>
      </c>
      <c r="K21" s="2" t="s">
        <v>4526</v>
      </c>
      <c r="L21" s="2" t="s">
        <v>1079</v>
      </c>
      <c r="M21" s="2"/>
      <c r="N21" s="2" t="s">
        <v>4528</v>
      </c>
      <c r="O21" s="2" t="s">
        <v>919</v>
      </c>
      <c r="P21" s="2" t="s">
        <v>4529</v>
      </c>
      <c r="Q21" s="2" t="s">
        <v>4450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75" x14ac:dyDescent="0.25">
      <c r="A22" s="2" t="s">
        <v>78</v>
      </c>
      <c r="B22" s="2" t="s">
        <v>4886</v>
      </c>
      <c r="C22" s="2" t="s">
        <v>4522</v>
      </c>
      <c r="D22" s="2" t="s">
        <v>4536</v>
      </c>
      <c r="E22" s="2" t="s">
        <v>4903</v>
      </c>
      <c r="F22" s="2" t="s">
        <v>4446</v>
      </c>
      <c r="G22" s="2" t="s">
        <v>4888</v>
      </c>
      <c r="H22" s="2" t="s">
        <v>4525</v>
      </c>
      <c r="I22" s="2" t="s">
        <v>4526</v>
      </c>
      <c r="J22" s="2" t="s">
        <v>4522</v>
      </c>
      <c r="K22" s="2" t="s">
        <v>4526</v>
      </c>
      <c r="L22" s="2" t="s">
        <v>1079</v>
      </c>
      <c r="M22" s="2"/>
      <c r="N22" s="2" t="s">
        <v>4528</v>
      </c>
      <c r="O22" s="2" t="s">
        <v>919</v>
      </c>
      <c r="P22" s="2" t="s">
        <v>4529</v>
      </c>
      <c r="Q22" s="2" t="s">
        <v>4450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75" x14ac:dyDescent="0.25">
      <c r="A23" s="2" t="s">
        <v>78</v>
      </c>
      <c r="B23" s="2" t="s">
        <v>4886</v>
      </c>
      <c r="C23" s="2" t="s">
        <v>4522</v>
      </c>
      <c r="D23" s="2" t="s">
        <v>4540</v>
      </c>
      <c r="E23" s="2" t="s">
        <v>4904</v>
      </c>
      <c r="F23" s="2" t="s">
        <v>4446</v>
      </c>
      <c r="G23" s="2" t="s">
        <v>4888</v>
      </c>
      <c r="H23" s="2" t="s">
        <v>4525</v>
      </c>
      <c r="I23" s="2" t="s">
        <v>4526</v>
      </c>
      <c r="J23" s="2" t="s">
        <v>4522</v>
      </c>
      <c r="K23" s="2" t="s">
        <v>4526</v>
      </c>
      <c r="L23" s="2" t="s">
        <v>1079</v>
      </c>
      <c r="M23" s="2"/>
      <c r="N23" s="2" t="s">
        <v>4528</v>
      </c>
      <c r="O23" s="2" t="s">
        <v>919</v>
      </c>
      <c r="P23" s="2" t="s">
        <v>4529</v>
      </c>
      <c r="Q23" s="2" t="s">
        <v>4450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75" x14ac:dyDescent="0.25">
      <c r="A24" s="2" t="s">
        <v>78</v>
      </c>
      <c r="B24" s="2" t="s">
        <v>4886</v>
      </c>
      <c r="C24" s="2" t="s">
        <v>4543</v>
      </c>
      <c r="D24" s="2" t="s">
        <v>4544</v>
      </c>
      <c r="E24" s="2" t="s">
        <v>4905</v>
      </c>
      <c r="F24" s="2" t="s">
        <v>4546</v>
      </c>
      <c r="G24" s="2" t="s">
        <v>4598</v>
      </c>
      <c r="H24" s="2" t="s">
        <v>4547</v>
      </c>
      <c r="I24" s="2" t="s">
        <v>4548</v>
      </c>
      <c r="J24" s="2" t="s">
        <v>4522</v>
      </c>
      <c r="K24" s="2" t="s">
        <v>4548</v>
      </c>
      <c r="L24" s="2" t="s">
        <v>4545</v>
      </c>
      <c r="M24" s="2"/>
      <c r="N24" s="2" t="s">
        <v>4528</v>
      </c>
      <c r="O24" s="2" t="s">
        <v>919</v>
      </c>
      <c r="P24" s="2"/>
      <c r="Q24" s="2" t="s">
        <v>4450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75" x14ac:dyDescent="0.25">
      <c r="A25" s="2" t="s">
        <v>78</v>
      </c>
      <c r="B25" s="2" t="s">
        <v>4886</v>
      </c>
      <c r="C25" s="2" t="s">
        <v>4550</v>
      </c>
      <c r="D25" s="2" t="s">
        <v>4551</v>
      </c>
      <c r="E25" s="2" t="s">
        <v>4905</v>
      </c>
      <c r="F25" s="2" t="s">
        <v>4546</v>
      </c>
      <c r="G25" s="2" t="s">
        <v>4598</v>
      </c>
      <c r="H25" s="2" t="s">
        <v>4547</v>
      </c>
      <c r="I25" s="2" t="s">
        <v>4552</v>
      </c>
      <c r="J25" s="2" t="s">
        <v>225</v>
      </c>
      <c r="K25" s="2" t="s">
        <v>4552</v>
      </c>
      <c r="L25" s="2" t="s">
        <v>4545</v>
      </c>
      <c r="M25" s="2"/>
      <c r="N25" s="2" t="s">
        <v>4528</v>
      </c>
      <c r="O25" s="2" t="s">
        <v>919</v>
      </c>
      <c r="P25" s="2"/>
      <c r="Q25" s="2" t="s">
        <v>4450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60" x14ac:dyDescent="0.25">
      <c r="A26" s="2" t="s">
        <v>79</v>
      </c>
      <c r="B26" s="2" t="s">
        <v>4886</v>
      </c>
      <c r="C26" s="2" t="s">
        <v>4554</v>
      </c>
      <c r="D26" s="2" t="s">
        <v>4555</v>
      </c>
      <c r="E26" s="2" t="s">
        <v>4906</v>
      </c>
      <c r="F26" s="2" t="s">
        <v>4446</v>
      </c>
      <c r="G26" s="2" t="s">
        <v>4888</v>
      </c>
      <c r="H26" s="2" t="s">
        <v>687</v>
      </c>
      <c r="I26" s="2" t="s">
        <v>4558</v>
      </c>
      <c r="J26" s="2" t="s">
        <v>225</v>
      </c>
      <c r="K26" s="2" t="s">
        <v>4558</v>
      </c>
      <c r="L26" s="2" t="s">
        <v>1079</v>
      </c>
      <c r="M26" s="2"/>
      <c r="N26" s="2" t="s">
        <v>2139</v>
      </c>
      <c r="O26" s="2" t="s">
        <v>919</v>
      </c>
      <c r="P26" s="2" t="s">
        <v>4560</v>
      </c>
      <c r="Q26" s="2" t="s">
        <v>4450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60" x14ac:dyDescent="0.25">
      <c r="A27" s="2" t="s">
        <v>79</v>
      </c>
      <c r="B27" s="2" t="s">
        <v>4886</v>
      </c>
      <c r="C27" s="2" t="s">
        <v>4554</v>
      </c>
      <c r="D27" s="2" t="s">
        <v>4561</v>
      </c>
      <c r="E27" s="2" t="s">
        <v>4907</v>
      </c>
      <c r="F27" s="2" t="s">
        <v>4446</v>
      </c>
      <c r="G27" s="2" t="s">
        <v>4888</v>
      </c>
      <c r="H27" s="2" t="s">
        <v>4564</v>
      </c>
      <c r="I27" s="2" t="s">
        <v>4558</v>
      </c>
      <c r="J27" s="2" t="s">
        <v>225</v>
      </c>
      <c r="K27" s="2" t="s">
        <v>4558</v>
      </c>
      <c r="L27" s="2" t="s">
        <v>1079</v>
      </c>
      <c r="M27" s="2"/>
      <c r="N27" s="2" t="s">
        <v>2139</v>
      </c>
      <c r="O27" s="2" t="s">
        <v>919</v>
      </c>
      <c r="P27" s="2" t="s">
        <v>4560</v>
      </c>
      <c r="Q27" s="2" t="s">
        <v>4450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60" x14ac:dyDescent="0.25">
      <c r="A28" s="2" t="s">
        <v>79</v>
      </c>
      <c r="B28" s="2" t="s">
        <v>4886</v>
      </c>
      <c r="C28" s="2" t="s">
        <v>4566</v>
      </c>
      <c r="D28" s="2" t="s">
        <v>4567</v>
      </c>
      <c r="E28" s="2" t="s">
        <v>4908</v>
      </c>
      <c r="F28" s="2" t="s">
        <v>4446</v>
      </c>
      <c r="G28" s="2" t="s">
        <v>4888</v>
      </c>
      <c r="H28" s="2" t="s">
        <v>687</v>
      </c>
      <c r="I28" s="2" t="s">
        <v>4569</v>
      </c>
      <c r="J28" s="2" t="s">
        <v>4522</v>
      </c>
      <c r="K28" s="2" t="s">
        <v>4569</v>
      </c>
      <c r="L28" s="2" t="s">
        <v>1079</v>
      </c>
      <c r="M28" s="2"/>
      <c r="N28" s="2" t="s">
        <v>2139</v>
      </c>
      <c r="O28" s="2" t="s">
        <v>919</v>
      </c>
      <c r="P28" s="2" t="s">
        <v>4560</v>
      </c>
      <c r="Q28" s="2" t="s">
        <v>4450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60" x14ac:dyDescent="0.25">
      <c r="A29" s="2" t="s">
        <v>79</v>
      </c>
      <c r="B29" s="2" t="s">
        <v>4886</v>
      </c>
      <c r="C29" s="2" t="s">
        <v>4566</v>
      </c>
      <c r="D29" s="2" t="s">
        <v>4571</v>
      </c>
      <c r="E29" s="2" t="s">
        <v>4906</v>
      </c>
      <c r="F29" s="2" t="s">
        <v>4446</v>
      </c>
      <c r="G29" s="2" t="s">
        <v>4888</v>
      </c>
      <c r="H29" s="2" t="s">
        <v>4572</v>
      </c>
      <c r="I29" s="2" t="s">
        <v>4569</v>
      </c>
      <c r="J29" s="2" t="s">
        <v>4522</v>
      </c>
      <c r="K29" s="2" t="s">
        <v>4569</v>
      </c>
      <c r="L29" s="2" t="s">
        <v>1079</v>
      </c>
      <c r="M29" s="2"/>
      <c r="N29" s="2" t="s">
        <v>2139</v>
      </c>
      <c r="O29" s="2" t="s">
        <v>919</v>
      </c>
      <c r="P29" s="2" t="s">
        <v>4560</v>
      </c>
      <c r="Q29" s="2" t="s">
        <v>4450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30" x14ac:dyDescent="0.25">
      <c r="A30" s="2" t="s">
        <v>79</v>
      </c>
      <c r="B30" s="2" t="s">
        <v>4886</v>
      </c>
      <c r="C30" s="2" t="s">
        <v>4574</v>
      </c>
      <c r="D30" s="2" t="s">
        <v>4575</v>
      </c>
      <c r="E30" s="2" t="s">
        <v>4905</v>
      </c>
      <c r="F30" s="2" t="s">
        <v>4546</v>
      </c>
      <c r="G30" s="2" t="s">
        <v>4598</v>
      </c>
      <c r="H30" s="2" t="s">
        <v>4547</v>
      </c>
      <c r="I30" s="2" t="s">
        <v>4569</v>
      </c>
      <c r="J30" s="2" t="s">
        <v>4522</v>
      </c>
      <c r="K30" s="2" t="s">
        <v>4569</v>
      </c>
      <c r="L30" s="2" t="s">
        <v>4545</v>
      </c>
      <c r="M30" s="2"/>
      <c r="N30" s="2" t="s">
        <v>2139</v>
      </c>
      <c r="O30" s="2" t="s">
        <v>919</v>
      </c>
      <c r="P30" s="2"/>
      <c r="Q30" s="2" t="s">
        <v>4450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45" x14ac:dyDescent="0.25">
      <c r="A31" s="2" t="s">
        <v>80</v>
      </c>
      <c r="B31" s="2" t="s">
        <v>4886</v>
      </c>
      <c r="C31" s="2" t="s">
        <v>4577</v>
      </c>
      <c r="D31" s="2" t="s">
        <v>4578</v>
      </c>
      <c r="E31" s="2" t="s">
        <v>4905</v>
      </c>
      <c r="F31" s="2" t="s">
        <v>4546</v>
      </c>
      <c r="G31" s="2" t="s">
        <v>4598</v>
      </c>
      <c r="H31" s="2" t="s">
        <v>4579</v>
      </c>
      <c r="I31" s="2" t="s">
        <v>4580</v>
      </c>
      <c r="J31" s="2" t="s">
        <v>225</v>
      </c>
      <c r="K31" s="2" t="s">
        <v>4580</v>
      </c>
      <c r="L31" s="2" t="s">
        <v>4545</v>
      </c>
      <c r="M31" s="2"/>
      <c r="N31" s="2" t="s">
        <v>4582</v>
      </c>
      <c r="O31" s="2" t="s">
        <v>919</v>
      </c>
      <c r="P31" s="2" t="s">
        <v>4583</v>
      </c>
      <c r="Q31" s="2" t="s">
        <v>4450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45" x14ac:dyDescent="0.25">
      <c r="A32" s="2" t="s">
        <v>80</v>
      </c>
      <c r="B32" s="2" t="s">
        <v>4886</v>
      </c>
      <c r="C32" s="2" t="s">
        <v>4577</v>
      </c>
      <c r="D32" s="2" t="s">
        <v>4584</v>
      </c>
      <c r="E32" s="2" t="s">
        <v>4905</v>
      </c>
      <c r="F32" s="2" t="s">
        <v>4546</v>
      </c>
      <c r="G32" s="2" t="s">
        <v>4598</v>
      </c>
      <c r="H32" s="2" t="s">
        <v>4579</v>
      </c>
      <c r="I32" s="2" t="s">
        <v>4580</v>
      </c>
      <c r="J32" s="2" t="s">
        <v>225</v>
      </c>
      <c r="K32" s="2" t="s">
        <v>4580</v>
      </c>
      <c r="L32" s="2" t="s">
        <v>4545</v>
      </c>
      <c r="M32" s="2"/>
      <c r="N32" s="2" t="s">
        <v>4582</v>
      </c>
      <c r="O32" s="2" t="s">
        <v>919</v>
      </c>
      <c r="P32" s="2" t="s">
        <v>4583</v>
      </c>
      <c r="Q32" s="2" t="s">
        <v>4450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45" x14ac:dyDescent="0.25">
      <c r="A33" s="2" t="s">
        <v>80</v>
      </c>
      <c r="B33" s="2" t="s">
        <v>4886</v>
      </c>
      <c r="C33" s="2" t="s">
        <v>4577</v>
      </c>
      <c r="D33" s="2" t="s">
        <v>4586</v>
      </c>
      <c r="E33" s="2" t="s">
        <v>4905</v>
      </c>
      <c r="F33" s="2" t="s">
        <v>4546</v>
      </c>
      <c r="G33" s="2" t="s">
        <v>4598</v>
      </c>
      <c r="H33" s="2" t="s">
        <v>4579</v>
      </c>
      <c r="I33" s="2" t="s">
        <v>4580</v>
      </c>
      <c r="J33" s="2" t="s">
        <v>225</v>
      </c>
      <c r="K33" s="2" t="s">
        <v>4580</v>
      </c>
      <c r="L33" s="2" t="s">
        <v>4545</v>
      </c>
      <c r="M33" s="2"/>
      <c r="N33" s="2" t="s">
        <v>4582</v>
      </c>
      <c r="O33" s="2" t="s">
        <v>919</v>
      </c>
      <c r="P33" s="2" t="s">
        <v>4583</v>
      </c>
      <c r="Q33" s="2" t="s">
        <v>4450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0" x14ac:dyDescent="0.25">
      <c r="A34" s="2" t="s">
        <v>80</v>
      </c>
      <c r="B34" s="2" t="s">
        <v>4886</v>
      </c>
      <c r="C34" s="2" t="s">
        <v>4588</v>
      </c>
      <c r="D34" s="2" t="s">
        <v>4589</v>
      </c>
      <c r="E34" s="2" t="s">
        <v>4905</v>
      </c>
      <c r="F34" s="2" t="s">
        <v>4546</v>
      </c>
      <c r="G34" s="2" t="s">
        <v>4598</v>
      </c>
      <c r="H34" s="2" t="s">
        <v>4591</v>
      </c>
      <c r="I34" s="2" t="s">
        <v>4592</v>
      </c>
      <c r="J34" s="2" t="s">
        <v>225</v>
      </c>
      <c r="K34" s="2" t="s">
        <v>4592</v>
      </c>
      <c r="L34" s="2" t="s">
        <v>4590</v>
      </c>
      <c r="M34" s="2"/>
      <c r="N34" s="2" t="s">
        <v>4595</v>
      </c>
      <c r="O34" s="2" t="s">
        <v>919</v>
      </c>
      <c r="P34" s="2"/>
      <c r="Q34" s="2" t="s">
        <v>4450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30" x14ac:dyDescent="0.25">
      <c r="A35" s="2" t="s">
        <v>81</v>
      </c>
      <c r="B35" s="2" t="s">
        <v>4886</v>
      </c>
      <c r="C35" s="2" t="s">
        <v>4596</v>
      </c>
      <c r="D35" s="2" t="s">
        <v>4597</v>
      </c>
      <c r="E35" s="2" t="s">
        <v>4905</v>
      </c>
      <c r="F35" s="2" t="s">
        <v>4598</v>
      </c>
      <c r="G35" s="2" t="s">
        <v>4598</v>
      </c>
      <c r="H35" s="2" t="s">
        <v>693</v>
      </c>
      <c r="I35" s="2" t="s">
        <v>4599</v>
      </c>
      <c r="J35" s="2" t="s">
        <v>225</v>
      </c>
      <c r="K35" s="2" t="s">
        <v>4599</v>
      </c>
      <c r="L35" s="2" t="s">
        <v>4545</v>
      </c>
      <c r="M35" s="2"/>
      <c r="N35" s="2" t="s">
        <v>4408</v>
      </c>
      <c r="O35" s="2" t="s">
        <v>919</v>
      </c>
      <c r="P35" s="2" t="s">
        <v>4601</v>
      </c>
      <c r="Q35" s="2" t="s">
        <v>4450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30" x14ac:dyDescent="0.25">
      <c r="A36" s="2" t="s">
        <v>81</v>
      </c>
      <c r="B36" s="2" t="s">
        <v>4886</v>
      </c>
      <c r="C36" s="2" t="s">
        <v>4596</v>
      </c>
      <c r="D36" s="2" t="s">
        <v>4602</v>
      </c>
      <c r="E36" s="2" t="s">
        <v>4905</v>
      </c>
      <c r="F36" s="2" t="s">
        <v>4598</v>
      </c>
      <c r="G36" s="2" t="s">
        <v>4598</v>
      </c>
      <c r="H36" s="2" t="s">
        <v>693</v>
      </c>
      <c r="I36" s="2" t="s">
        <v>4599</v>
      </c>
      <c r="J36" s="2" t="s">
        <v>225</v>
      </c>
      <c r="K36" s="2" t="s">
        <v>4599</v>
      </c>
      <c r="L36" s="2" t="s">
        <v>4545</v>
      </c>
      <c r="M36" s="2"/>
      <c r="N36" s="2" t="s">
        <v>4408</v>
      </c>
      <c r="O36" s="2" t="s">
        <v>919</v>
      </c>
      <c r="P36" s="2" t="s">
        <v>4601</v>
      </c>
      <c r="Q36" s="2" t="s">
        <v>4450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30" x14ac:dyDescent="0.25">
      <c r="A37" s="2" t="s">
        <v>81</v>
      </c>
      <c r="B37" s="2" t="s">
        <v>4886</v>
      </c>
      <c r="C37" s="2" t="s">
        <v>4596</v>
      </c>
      <c r="D37" s="2" t="s">
        <v>4604</v>
      </c>
      <c r="E37" s="2" t="s">
        <v>4905</v>
      </c>
      <c r="F37" s="2" t="s">
        <v>4598</v>
      </c>
      <c r="G37" s="2" t="s">
        <v>4598</v>
      </c>
      <c r="H37" s="2" t="s">
        <v>693</v>
      </c>
      <c r="I37" s="2" t="s">
        <v>4599</v>
      </c>
      <c r="J37" s="2" t="s">
        <v>225</v>
      </c>
      <c r="K37" s="2" t="s">
        <v>4599</v>
      </c>
      <c r="L37" s="2" t="s">
        <v>4545</v>
      </c>
      <c r="M37" s="2"/>
      <c r="N37" s="2" t="s">
        <v>4408</v>
      </c>
      <c r="O37" s="2" t="s">
        <v>919</v>
      </c>
      <c r="P37" s="2" t="s">
        <v>4601</v>
      </c>
      <c r="Q37" s="2" t="s">
        <v>4450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30" x14ac:dyDescent="0.25">
      <c r="A38" s="2" t="s">
        <v>82</v>
      </c>
      <c r="B38" s="2" t="s">
        <v>4886</v>
      </c>
      <c r="C38" s="2" t="s">
        <v>4606</v>
      </c>
      <c r="D38" s="2" t="s">
        <v>4607</v>
      </c>
      <c r="E38" s="2" t="s">
        <v>4894</v>
      </c>
      <c r="F38" s="2" t="s">
        <v>4446</v>
      </c>
      <c r="G38" s="2" t="s">
        <v>4888</v>
      </c>
      <c r="H38" s="2" t="s">
        <v>4608</v>
      </c>
      <c r="I38" s="2" t="s">
        <v>4609</v>
      </c>
      <c r="J38" s="2" t="s">
        <v>215</v>
      </c>
      <c r="K38" s="2" t="s">
        <v>4609</v>
      </c>
      <c r="L38" s="2" t="s">
        <v>1079</v>
      </c>
      <c r="M38" s="2"/>
      <c r="N38" s="2" t="s">
        <v>1628</v>
      </c>
      <c r="O38" s="2" t="s">
        <v>919</v>
      </c>
      <c r="P38" s="2" t="s">
        <v>4611</v>
      </c>
      <c r="Q38" s="2" t="s">
        <v>4450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30" x14ac:dyDescent="0.25">
      <c r="A39" s="2" t="s">
        <v>82</v>
      </c>
      <c r="B39" s="2" t="s">
        <v>4886</v>
      </c>
      <c r="C39" s="2" t="s">
        <v>4606</v>
      </c>
      <c r="D39" s="2" t="s">
        <v>4612</v>
      </c>
      <c r="E39" s="2" t="s">
        <v>4895</v>
      </c>
      <c r="F39" s="2" t="s">
        <v>4446</v>
      </c>
      <c r="G39" s="2" t="s">
        <v>4888</v>
      </c>
      <c r="H39" s="2" t="s">
        <v>4608</v>
      </c>
      <c r="I39" s="2" t="s">
        <v>4609</v>
      </c>
      <c r="J39" s="2" t="s">
        <v>215</v>
      </c>
      <c r="K39" s="2" t="s">
        <v>4609</v>
      </c>
      <c r="L39" s="2" t="s">
        <v>1079</v>
      </c>
      <c r="M39" s="2"/>
      <c r="N39" s="2" t="s">
        <v>1628</v>
      </c>
      <c r="O39" s="2" t="s">
        <v>919</v>
      </c>
      <c r="P39" s="2" t="s">
        <v>4611</v>
      </c>
      <c r="Q39" s="2" t="s">
        <v>4450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30" x14ac:dyDescent="0.25">
      <c r="A40" s="2" t="s">
        <v>82</v>
      </c>
      <c r="B40" s="2" t="s">
        <v>4886</v>
      </c>
      <c r="C40" s="2" t="s">
        <v>4606</v>
      </c>
      <c r="D40" s="2" t="s">
        <v>1951</v>
      </c>
      <c r="E40" s="2" t="s">
        <v>4909</v>
      </c>
      <c r="F40" s="2" t="s">
        <v>4446</v>
      </c>
      <c r="G40" s="2" t="s">
        <v>4888</v>
      </c>
      <c r="H40" s="2" t="s">
        <v>4608</v>
      </c>
      <c r="I40" s="2" t="s">
        <v>4609</v>
      </c>
      <c r="J40" s="2" t="s">
        <v>215</v>
      </c>
      <c r="K40" s="2" t="s">
        <v>4609</v>
      </c>
      <c r="L40" s="2" t="s">
        <v>1079</v>
      </c>
      <c r="M40" s="2"/>
      <c r="N40" s="2" t="s">
        <v>1628</v>
      </c>
      <c r="O40" s="2" t="s">
        <v>919</v>
      </c>
      <c r="P40" s="2" t="s">
        <v>4611</v>
      </c>
      <c r="Q40" s="2" t="s">
        <v>4450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75" x14ac:dyDescent="0.25">
      <c r="A41" s="2" t="s">
        <v>82</v>
      </c>
      <c r="B41" s="2" t="s">
        <v>4886</v>
      </c>
      <c r="C41" s="2" t="s">
        <v>4522</v>
      </c>
      <c r="D41" s="2" t="s">
        <v>4616</v>
      </c>
      <c r="E41" s="2" t="s">
        <v>4910</v>
      </c>
      <c r="F41" s="2" t="s">
        <v>4446</v>
      </c>
      <c r="G41" s="2" t="s">
        <v>4888</v>
      </c>
      <c r="H41" s="2" t="s">
        <v>4619</v>
      </c>
      <c r="I41" s="2" t="s">
        <v>4620</v>
      </c>
      <c r="J41" s="2" t="s">
        <v>4522</v>
      </c>
      <c r="K41" s="2" t="s">
        <v>4620</v>
      </c>
      <c r="L41" s="2" t="s">
        <v>1079</v>
      </c>
      <c r="M41" s="2"/>
      <c r="N41" s="2" t="s">
        <v>4623</v>
      </c>
      <c r="O41" s="2" t="s">
        <v>919</v>
      </c>
      <c r="P41" s="2" t="s">
        <v>4624</v>
      </c>
      <c r="Q41" s="2" t="s">
        <v>4450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30" x14ac:dyDescent="0.25">
      <c r="A42" s="2" t="s">
        <v>83</v>
      </c>
      <c r="B42" s="2" t="s">
        <v>4886</v>
      </c>
      <c r="C42" s="2" t="s">
        <v>4470</v>
      </c>
      <c r="D42" s="2" t="s">
        <v>4625</v>
      </c>
      <c r="E42" s="2" t="s">
        <v>228</v>
      </c>
      <c r="F42" s="2" t="s">
        <v>228</v>
      </c>
      <c r="G42" s="2" t="s">
        <v>4892</v>
      </c>
      <c r="H42" s="2" t="s">
        <v>4626</v>
      </c>
      <c r="I42" s="2" t="s">
        <v>4627</v>
      </c>
      <c r="J42" s="2" t="s">
        <v>225</v>
      </c>
      <c r="K42" s="2" t="s">
        <v>4627</v>
      </c>
      <c r="L42" s="2" t="s">
        <v>287</v>
      </c>
      <c r="M42" s="2"/>
      <c r="N42" s="2" t="s">
        <v>771</v>
      </c>
      <c r="O42" s="2" t="s">
        <v>919</v>
      </c>
      <c r="P42" s="2"/>
      <c r="Q42" s="2" t="s">
        <v>4450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30" x14ac:dyDescent="0.25">
      <c r="A43" s="2" t="s">
        <v>84</v>
      </c>
      <c r="B43" s="2" t="s">
        <v>4886</v>
      </c>
      <c r="C43" s="2" t="s">
        <v>4470</v>
      </c>
      <c r="D43" s="2" t="s">
        <v>4471</v>
      </c>
      <c r="E43" s="2" t="s">
        <v>228</v>
      </c>
      <c r="F43" s="2" t="s">
        <v>866</v>
      </c>
      <c r="G43" s="2" t="s">
        <v>4892</v>
      </c>
      <c r="H43" s="2" t="s">
        <v>866</v>
      </c>
      <c r="I43" s="2" t="s">
        <v>4627</v>
      </c>
      <c r="J43" s="2" t="s">
        <v>225</v>
      </c>
      <c r="K43" s="2" t="s">
        <v>4627</v>
      </c>
      <c r="L43" s="2" t="s">
        <v>287</v>
      </c>
      <c r="M43" s="2"/>
      <c r="N43" s="2" t="s">
        <v>4629</v>
      </c>
      <c r="O43" s="2" t="s">
        <v>919</v>
      </c>
      <c r="P43" s="2" t="s">
        <v>4630</v>
      </c>
      <c r="Q43" s="2" t="s">
        <v>4450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45" x14ac:dyDescent="0.25">
      <c r="A44" s="2" t="s">
        <v>85</v>
      </c>
      <c r="B44" s="2" t="s">
        <v>4886</v>
      </c>
      <c r="C44" s="2" t="s">
        <v>4470</v>
      </c>
      <c r="D44" s="2" t="s">
        <v>4471</v>
      </c>
      <c r="E44" s="2" t="s">
        <v>228</v>
      </c>
      <c r="F44" s="2" t="s">
        <v>866</v>
      </c>
      <c r="G44" s="2" t="s">
        <v>4892</v>
      </c>
      <c r="H44" s="2" t="s">
        <v>866</v>
      </c>
      <c r="I44" s="2" t="s">
        <v>4631</v>
      </c>
      <c r="J44" s="2" t="s">
        <v>225</v>
      </c>
      <c r="K44" s="2" t="s">
        <v>4631</v>
      </c>
      <c r="L44" s="2" t="s">
        <v>287</v>
      </c>
      <c r="M44" s="2"/>
      <c r="N44" s="2" t="s">
        <v>4632</v>
      </c>
      <c r="O44" s="2" t="s">
        <v>919</v>
      </c>
      <c r="P44" s="2" t="s">
        <v>4633</v>
      </c>
      <c r="Q44" s="2" t="s">
        <v>4450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45" x14ac:dyDescent="0.25">
      <c r="A45" s="2" t="s">
        <v>86</v>
      </c>
      <c r="B45" s="2" t="s">
        <v>4886</v>
      </c>
      <c r="C45" s="2" t="s">
        <v>4470</v>
      </c>
      <c r="D45" s="2" t="s">
        <v>4471</v>
      </c>
      <c r="E45" s="2" t="s">
        <v>228</v>
      </c>
      <c r="F45" s="2" t="s">
        <v>866</v>
      </c>
      <c r="G45" s="2" t="s">
        <v>4892</v>
      </c>
      <c r="H45" s="2" t="s">
        <v>866</v>
      </c>
      <c r="I45" s="2" t="s">
        <v>4351</v>
      </c>
      <c r="J45" s="2" t="s">
        <v>225</v>
      </c>
      <c r="K45" s="2" t="s">
        <v>4351</v>
      </c>
      <c r="L45" s="2" t="s">
        <v>287</v>
      </c>
      <c r="M45" s="2"/>
      <c r="N45" s="2" t="s">
        <v>4634</v>
      </c>
      <c r="O45" s="2" t="s">
        <v>919</v>
      </c>
      <c r="P45" s="2" t="s">
        <v>4635</v>
      </c>
      <c r="Q45" s="2" t="s">
        <v>4450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45" x14ac:dyDescent="0.25">
      <c r="A46" s="2" t="s">
        <v>87</v>
      </c>
      <c r="B46" s="2" t="s">
        <v>4886</v>
      </c>
      <c r="C46" s="2" t="s">
        <v>4636</v>
      </c>
      <c r="D46" s="2" t="s">
        <v>4637</v>
      </c>
      <c r="E46" s="2" t="s">
        <v>228</v>
      </c>
      <c r="F46" s="2" t="s">
        <v>228</v>
      </c>
      <c r="G46" s="2" t="s">
        <v>4892</v>
      </c>
      <c r="H46" s="2" t="s">
        <v>4638</v>
      </c>
      <c r="I46" s="2" t="s">
        <v>4639</v>
      </c>
      <c r="J46" s="2" t="s">
        <v>225</v>
      </c>
      <c r="K46" s="2" t="s">
        <v>4639</v>
      </c>
      <c r="L46" s="2" t="s">
        <v>276</v>
      </c>
      <c r="M46" s="2"/>
      <c r="N46" s="2" t="s">
        <v>1629</v>
      </c>
      <c r="O46" s="2" t="s">
        <v>919</v>
      </c>
      <c r="P46" s="2"/>
      <c r="Q46" s="2" t="s">
        <v>4450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30" x14ac:dyDescent="0.25">
      <c r="A47" s="2" t="s">
        <v>88</v>
      </c>
      <c r="B47" s="2" t="s">
        <v>4886</v>
      </c>
      <c r="C47" s="2" t="s">
        <v>4470</v>
      </c>
      <c r="D47" s="2" t="s">
        <v>4471</v>
      </c>
      <c r="E47" s="2" t="s">
        <v>228</v>
      </c>
      <c r="F47" s="2" t="s">
        <v>866</v>
      </c>
      <c r="G47" s="2" t="s">
        <v>4892</v>
      </c>
      <c r="H47" s="2" t="s">
        <v>866</v>
      </c>
      <c r="I47" s="2" t="s">
        <v>4627</v>
      </c>
      <c r="J47" s="2" t="s">
        <v>225</v>
      </c>
      <c r="K47" s="2" t="s">
        <v>4627</v>
      </c>
      <c r="L47" s="2" t="s">
        <v>287</v>
      </c>
      <c r="M47" s="2"/>
      <c r="N47" s="2" t="s">
        <v>4641</v>
      </c>
      <c r="O47" s="2" t="s">
        <v>919</v>
      </c>
      <c r="P47" s="2" t="s">
        <v>4642</v>
      </c>
      <c r="Q47" s="2" t="s">
        <v>4450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90" x14ac:dyDescent="0.25">
      <c r="A48" s="2" t="s">
        <v>89</v>
      </c>
      <c r="B48" s="2" t="s">
        <v>4886</v>
      </c>
      <c r="C48" s="2" t="s">
        <v>4643</v>
      </c>
      <c r="D48" s="2" t="s">
        <v>623</v>
      </c>
      <c r="E48" s="2" t="s">
        <v>4911</v>
      </c>
      <c r="F48" s="2" t="s">
        <v>4646</v>
      </c>
      <c r="G48" s="2" t="s">
        <v>4888</v>
      </c>
      <c r="H48" s="2" t="s">
        <v>699</v>
      </c>
      <c r="I48" s="2" t="s">
        <v>4647</v>
      </c>
      <c r="J48" s="2" t="s">
        <v>225</v>
      </c>
      <c r="K48" s="2" t="s">
        <v>4647</v>
      </c>
      <c r="L48" s="2" t="s">
        <v>4644</v>
      </c>
      <c r="M48" s="2"/>
      <c r="N48" s="2" t="s">
        <v>4410</v>
      </c>
      <c r="O48" s="2" t="s">
        <v>919</v>
      </c>
      <c r="P48" s="2" t="s">
        <v>4650</v>
      </c>
      <c r="Q48" s="2" t="s">
        <v>4450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30" x14ac:dyDescent="0.25">
      <c r="A49" s="2" t="s">
        <v>90</v>
      </c>
      <c r="B49" s="2" t="s">
        <v>4886</v>
      </c>
      <c r="C49" s="2" t="s">
        <v>4470</v>
      </c>
      <c r="D49" s="2" t="s">
        <v>4497</v>
      </c>
      <c r="E49" s="2" t="s">
        <v>228</v>
      </c>
      <c r="F49" s="2" t="s">
        <v>228</v>
      </c>
      <c r="G49" s="2" t="s">
        <v>4892</v>
      </c>
      <c r="H49" s="2" t="s">
        <v>4651</v>
      </c>
      <c r="I49" s="2" t="s">
        <v>4499</v>
      </c>
      <c r="J49" s="2" t="s">
        <v>225</v>
      </c>
      <c r="K49" s="2" t="s">
        <v>4499</v>
      </c>
      <c r="L49" s="2" t="s">
        <v>276</v>
      </c>
      <c r="M49" s="2"/>
      <c r="N49" s="2" t="s">
        <v>2429</v>
      </c>
      <c r="O49" s="2" t="s">
        <v>919</v>
      </c>
      <c r="P49" s="2" t="s">
        <v>4653</v>
      </c>
      <c r="Q49" s="2" t="s">
        <v>4450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30" x14ac:dyDescent="0.25">
      <c r="A50" s="2" t="s">
        <v>91</v>
      </c>
      <c r="B50" s="2" t="s">
        <v>4886</v>
      </c>
      <c r="C50" s="2" t="s">
        <v>4654</v>
      </c>
      <c r="D50" s="2" t="s">
        <v>4655</v>
      </c>
      <c r="E50" s="2" t="s">
        <v>228</v>
      </c>
      <c r="F50" s="2" t="s">
        <v>228</v>
      </c>
      <c r="G50" s="2" t="s">
        <v>4892</v>
      </c>
      <c r="H50" s="2" t="s">
        <v>4656</v>
      </c>
      <c r="I50" s="2" t="s">
        <v>4208</v>
      </c>
      <c r="J50" s="2" t="s">
        <v>225</v>
      </c>
      <c r="K50" s="2" t="s">
        <v>4208</v>
      </c>
      <c r="L50" s="2" t="s">
        <v>287</v>
      </c>
      <c r="M50" s="2"/>
      <c r="N50" s="2" t="s">
        <v>2413</v>
      </c>
      <c r="O50" s="2" t="s">
        <v>919</v>
      </c>
      <c r="P50" s="2"/>
      <c r="Q50" s="2" t="s">
        <v>4450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30" x14ac:dyDescent="0.25">
      <c r="A51" s="2" t="s">
        <v>92</v>
      </c>
      <c r="B51" s="2" t="s">
        <v>4886</v>
      </c>
      <c r="C51" s="2" t="s">
        <v>4497</v>
      </c>
      <c r="D51" s="2" t="s">
        <v>4658</v>
      </c>
      <c r="E51" s="2" t="s">
        <v>228</v>
      </c>
      <c r="F51" s="2" t="s">
        <v>228</v>
      </c>
      <c r="G51" s="2" t="s">
        <v>4892</v>
      </c>
      <c r="H51" s="2" t="s">
        <v>4659</v>
      </c>
      <c r="I51" s="2" t="s">
        <v>4660</v>
      </c>
      <c r="J51" s="2" t="s">
        <v>225</v>
      </c>
      <c r="K51" s="2" t="s">
        <v>4660</v>
      </c>
      <c r="L51" s="2" t="s">
        <v>276</v>
      </c>
      <c r="M51" s="2"/>
      <c r="N51" s="2" t="s">
        <v>776</v>
      </c>
      <c r="O51" s="2" t="s">
        <v>919</v>
      </c>
      <c r="P51" s="2"/>
      <c r="Q51" s="2" t="s">
        <v>4450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30" x14ac:dyDescent="0.25">
      <c r="A52" s="2" t="s">
        <v>93</v>
      </c>
      <c r="B52" s="2" t="s">
        <v>4886</v>
      </c>
      <c r="C52" s="2" t="s">
        <v>4497</v>
      </c>
      <c r="D52" s="2" t="s">
        <v>4662</v>
      </c>
      <c r="E52" s="2" t="s">
        <v>228</v>
      </c>
      <c r="F52" s="2" t="s">
        <v>228</v>
      </c>
      <c r="G52" s="2" t="s">
        <v>4892</v>
      </c>
      <c r="H52" s="2" t="s">
        <v>4663</v>
      </c>
      <c r="I52" s="2" t="s">
        <v>4499</v>
      </c>
      <c r="J52" s="2" t="s">
        <v>225</v>
      </c>
      <c r="K52" s="2" t="s">
        <v>4499</v>
      </c>
      <c r="L52" s="2" t="s">
        <v>276</v>
      </c>
      <c r="M52" s="2"/>
      <c r="N52" s="2" t="s">
        <v>777</v>
      </c>
      <c r="O52" s="2" t="s">
        <v>919</v>
      </c>
      <c r="P52" s="2"/>
      <c r="Q52" s="2" t="s">
        <v>4450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30" x14ac:dyDescent="0.25">
      <c r="A53" s="2" t="s">
        <v>94</v>
      </c>
      <c r="B53" s="2" t="s">
        <v>4886</v>
      </c>
      <c r="C53" s="2" t="s">
        <v>4497</v>
      </c>
      <c r="D53" s="2" t="s">
        <v>4665</v>
      </c>
      <c r="E53" s="2" t="s">
        <v>228</v>
      </c>
      <c r="F53" s="2" t="s">
        <v>228</v>
      </c>
      <c r="G53" s="2" t="s">
        <v>4892</v>
      </c>
      <c r="H53" s="2" t="s">
        <v>4666</v>
      </c>
      <c r="I53" s="2" t="s">
        <v>4499</v>
      </c>
      <c r="J53" s="2" t="s">
        <v>225</v>
      </c>
      <c r="K53" s="2" t="s">
        <v>4499</v>
      </c>
      <c r="L53" s="2" t="s">
        <v>276</v>
      </c>
      <c r="M53" s="2"/>
      <c r="N53" s="2" t="s">
        <v>4668</v>
      </c>
      <c r="O53" s="2" t="s">
        <v>919</v>
      </c>
      <c r="P53" s="2"/>
      <c r="Q53" s="2" t="s">
        <v>4450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30" x14ac:dyDescent="0.25">
      <c r="A54" s="2" t="s">
        <v>95</v>
      </c>
      <c r="B54" s="2" t="s">
        <v>4886</v>
      </c>
      <c r="C54" s="2" t="s">
        <v>4442</v>
      </c>
      <c r="D54" s="2" t="s">
        <v>4669</v>
      </c>
      <c r="E54" s="2" t="s">
        <v>4912</v>
      </c>
      <c r="F54" s="2" t="s">
        <v>4446</v>
      </c>
      <c r="G54" s="2" t="s">
        <v>4888</v>
      </c>
      <c r="H54" s="2" t="s">
        <v>687</v>
      </c>
      <c r="I54" s="2" t="s">
        <v>4447</v>
      </c>
      <c r="J54" s="2" t="s">
        <v>225</v>
      </c>
      <c r="K54" s="2" t="s">
        <v>215</v>
      </c>
      <c r="L54" s="2" t="s">
        <v>1079</v>
      </c>
      <c r="M54" s="2"/>
      <c r="N54" s="2" t="s">
        <v>1630</v>
      </c>
      <c r="O54" s="2" t="s">
        <v>919</v>
      </c>
      <c r="P54" s="2" t="s">
        <v>4673</v>
      </c>
      <c r="Q54" s="2" t="s">
        <v>4450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30" x14ac:dyDescent="0.25">
      <c r="A55" s="2" t="s">
        <v>95</v>
      </c>
      <c r="B55" s="2" t="s">
        <v>4886</v>
      </c>
      <c r="C55" s="2" t="s">
        <v>4674</v>
      </c>
      <c r="D55" s="2" t="s">
        <v>4675</v>
      </c>
      <c r="E55" s="2" t="s">
        <v>4913</v>
      </c>
      <c r="F55" s="2" t="s">
        <v>4446</v>
      </c>
      <c r="G55" s="2" t="s">
        <v>4888</v>
      </c>
      <c r="H55" s="2" t="s">
        <v>4677</v>
      </c>
      <c r="I55" s="2" t="s">
        <v>4678</v>
      </c>
      <c r="J55" s="2" t="s">
        <v>225</v>
      </c>
      <c r="K55" s="2" t="s">
        <v>4678</v>
      </c>
      <c r="L55" s="2" t="s">
        <v>1079</v>
      </c>
      <c r="M55" s="2"/>
      <c r="N55" s="2" t="s">
        <v>1630</v>
      </c>
      <c r="O55" s="2" t="s">
        <v>919</v>
      </c>
      <c r="P55" s="2" t="s">
        <v>4680</v>
      </c>
      <c r="Q55" s="2" t="s">
        <v>4450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30" x14ac:dyDescent="0.25">
      <c r="A56" s="2" t="s">
        <v>95</v>
      </c>
      <c r="B56" s="2" t="s">
        <v>4886</v>
      </c>
      <c r="C56" s="2" t="s">
        <v>4674</v>
      </c>
      <c r="D56" s="2" t="s">
        <v>1952</v>
      </c>
      <c r="E56" s="2" t="s">
        <v>4914</v>
      </c>
      <c r="F56" s="2" t="s">
        <v>4446</v>
      </c>
      <c r="G56" s="2" t="s">
        <v>4888</v>
      </c>
      <c r="H56" s="2" t="s">
        <v>4677</v>
      </c>
      <c r="I56" s="2" t="s">
        <v>4678</v>
      </c>
      <c r="J56" s="2" t="s">
        <v>225</v>
      </c>
      <c r="K56" s="2" t="s">
        <v>4678</v>
      </c>
      <c r="L56" s="2" t="s">
        <v>1079</v>
      </c>
      <c r="M56" s="2"/>
      <c r="N56" s="2" t="s">
        <v>1630</v>
      </c>
      <c r="O56" s="2" t="s">
        <v>919</v>
      </c>
      <c r="P56" s="2" t="s">
        <v>4680</v>
      </c>
      <c r="Q56" s="2" t="s">
        <v>4450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30" x14ac:dyDescent="0.25">
      <c r="A57" s="2" t="s">
        <v>96</v>
      </c>
      <c r="B57" s="2" t="s">
        <v>4886</v>
      </c>
      <c r="C57" s="2" t="s">
        <v>4470</v>
      </c>
      <c r="D57" s="2" t="s">
        <v>4471</v>
      </c>
      <c r="E57" s="2" t="s">
        <v>228</v>
      </c>
      <c r="F57" s="2" t="s">
        <v>866</v>
      </c>
      <c r="G57" s="2" t="s">
        <v>4892</v>
      </c>
      <c r="H57" s="2" t="s">
        <v>4683</v>
      </c>
      <c r="I57" s="2" t="s">
        <v>4684</v>
      </c>
      <c r="J57" s="2" t="s">
        <v>225</v>
      </c>
      <c r="K57" s="2" t="s">
        <v>4684</v>
      </c>
      <c r="L57" s="2" t="s">
        <v>287</v>
      </c>
      <c r="M57" s="2"/>
      <c r="N57" s="2" t="s">
        <v>1961</v>
      </c>
      <c r="O57" s="2" t="s">
        <v>919</v>
      </c>
      <c r="P57" s="2"/>
      <c r="Q57" s="2" t="s">
        <v>4450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30" x14ac:dyDescent="0.25">
      <c r="A58" s="2" t="s">
        <v>97</v>
      </c>
      <c r="B58" s="2" t="s">
        <v>4886</v>
      </c>
      <c r="C58" s="2" t="s">
        <v>4470</v>
      </c>
      <c r="D58" s="2" t="s">
        <v>4471</v>
      </c>
      <c r="E58" s="2" t="s">
        <v>228</v>
      </c>
      <c r="F58" s="2" t="s">
        <v>866</v>
      </c>
      <c r="G58" s="2" t="s">
        <v>4892</v>
      </c>
      <c r="H58" s="2" t="s">
        <v>866</v>
      </c>
      <c r="I58" s="2" t="s">
        <v>4627</v>
      </c>
      <c r="J58" s="2" t="s">
        <v>225</v>
      </c>
      <c r="K58" s="2" t="s">
        <v>4627</v>
      </c>
      <c r="L58" s="2" t="s">
        <v>287</v>
      </c>
      <c r="M58" s="2"/>
      <c r="N58" s="2" t="s">
        <v>4686</v>
      </c>
      <c r="O58" s="2" t="s">
        <v>919</v>
      </c>
      <c r="P58" s="2" t="s">
        <v>4642</v>
      </c>
      <c r="Q58" s="2" t="s">
        <v>4450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30" x14ac:dyDescent="0.25">
      <c r="A59" s="2" t="s">
        <v>98</v>
      </c>
      <c r="B59" s="2" t="s">
        <v>4886</v>
      </c>
      <c r="C59" s="2" t="s">
        <v>4687</v>
      </c>
      <c r="D59" s="2" t="s">
        <v>625</v>
      </c>
      <c r="E59" s="2" t="s">
        <v>866</v>
      </c>
      <c r="F59" s="2" t="s">
        <v>866</v>
      </c>
      <c r="G59" s="2" t="s">
        <v>4892</v>
      </c>
      <c r="H59" s="2" t="s">
        <v>708</v>
      </c>
      <c r="I59" s="2" t="s">
        <v>4447</v>
      </c>
      <c r="J59" s="2" t="s">
        <v>225</v>
      </c>
      <c r="K59" s="2" t="s">
        <v>215</v>
      </c>
      <c r="L59" s="2" t="s">
        <v>4688</v>
      </c>
      <c r="M59" s="2"/>
      <c r="N59" s="2" t="s">
        <v>4411</v>
      </c>
      <c r="O59" s="2" t="s">
        <v>919</v>
      </c>
      <c r="P59" s="2" t="s">
        <v>4690</v>
      </c>
      <c r="Q59" s="2" t="s">
        <v>4450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30" x14ac:dyDescent="0.25">
      <c r="A60" s="2" t="s">
        <v>99</v>
      </c>
      <c r="B60" s="2" t="s">
        <v>4886</v>
      </c>
      <c r="C60" s="2" t="s">
        <v>4691</v>
      </c>
      <c r="D60" s="2" t="s">
        <v>4692</v>
      </c>
      <c r="E60" s="2" t="s">
        <v>4915</v>
      </c>
      <c r="F60" s="2" t="s">
        <v>4446</v>
      </c>
      <c r="G60" s="2" t="s">
        <v>4888</v>
      </c>
      <c r="H60" s="2" t="s">
        <v>4694</v>
      </c>
      <c r="I60" s="2" t="s">
        <v>4695</v>
      </c>
      <c r="J60" s="2" t="s">
        <v>215</v>
      </c>
      <c r="K60" s="2" t="s">
        <v>4609</v>
      </c>
      <c r="L60" s="2" t="s">
        <v>1079</v>
      </c>
      <c r="M60" s="2"/>
      <c r="N60" s="2" t="s">
        <v>1631</v>
      </c>
      <c r="O60" s="2" t="s">
        <v>919</v>
      </c>
      <c r="P60" s="2" t="s">
        <v>4697</v>
      </c>
      <c r="Q60" s="2" t="s">
        <v>4450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45" x14ac:dyDescent="0.25">
      <c r="A61" s="2" t="s">
        <v>99</v>
      </c>
      <c r="B61" s="2" t="s">
        <v>4886</v>
      </c>
      <c r="C61" s="2" t="s">
        <v>4698</v>
      </c>
      <c r="D61" s="2" t="s">
        <v>4699</v>
      </c>
      <c r="E61" s="2" t="s">
        <v>4905</v>
      </c>
      <c r="F61" s="2" t="s">
        <v>4546</v>
      </c>
      <c r="G61" s="2" t="s">
        <v>4598</v>
      </c>
      <c r="H61" s="2" t="s">
        <v>4700</v>
      </c>
      <c r="I61" s="2" t="s">
        <v>4701</v>
      </c>
      <c r="J61" s="2" t="s">
        <v>215</v>
      </c>
      <c r="K61" s="2" t="s">
        <v>4609</v>
      </c>
      <c r="L61" s="2" t="s">
        <v>4598</v>
      </c>
      <c r="M61" s="2"/>
      <c r="N61" s="2" t="s">
        <v>1631</v>
      </c>
      <c r="O61" s="2" t="s">
        <v>919</v>
      </c>
      <c r="P61" s="2" t="s">
        <v>4703</v>
      </c>
      <c r="Q61" s="2" t="s">
        <v>4450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45" x14ac:dyDescent="0.25">
      <c r="A62" s="2" t="s">
        <v>99</v>
      </c>
      <c r="B62" s="2" t="s">
        <v>4886</v>
      </c>
      <c r="C62" s="2" t="s">
        <v>4698</v>
      </c>
      <c r="D62" s="2" t="s">
        <v>4704</v>
      </c>
      <c r="E62" s="2" t="s">
        <v>4905</v>
      </c>
      <c r="F62" s="2" t="s">
        <v>4546</v>
      </c>
      <c r="G62" s="2" t="s">
        <v>4598</v>
      </c>
      <c r="H62" s="2" t="s">
        <v>4700</v>
      </c>
      <c r="I62" s="2" t="s">
        <v>4701</v>
      </c>
      <c r="J62" s="2" t="s">
        <v>215</v>
      </c>
      <c r="K62" s="2" t="s">
        <v>4609</v>
      </c>
      <c r="L62" s="2" t="s">
        <v>4598</v>
      </c>
      <c r="M62" s="2"/>
      <c r="N62" s="2" t="s">
        <v>1631</v>
      </c>
      <c r="O62" s="2" t="s">
        <v>919</v>
      </c>
      <c r="P62" s="2" t="s">
        <v>4703</v>
      </c>
      <c r="Q62" s="2" t="s">
        <v>4450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45" x14ac:dyDescent="0.25">
      <c r="A63" s="2" t="s">
        <v>99</v>
      </c>
      <c r="B63" s="2" t="s">
        <v>4886</v>
      </c>
      <c r="C63" s="2" t="s">
        <v>4698</v>
      </c>
      <c r="D63" s="2" t="s">
        <v>4706</v>
      </c>
      <c r="E63" s="2" t="s">
        <v>4905</v>
      </c>
      <c r="F63" s="2" t="s">
        <v>4546</v>
      </c>
      <c r="G63" s="2" t="s">
        <v>4598</v>
      </c>
      <c r="H63" s="2" t="s">
        <v>4700</v>
      </c>
      <c r="I63" s="2" t="s">
        <v>4701</v>
      </c>
      <c r="J63" s="2" t="s">
        <v>215</v>
      </c>
      <c r="K63" s="2" t="s">
        <v>4609</v>
      </c>
      <c r="L63" s="2" t="s">
        <v>4598</v>
      </c>
      <c r="M63" s="2"/>
      <c r="N63" s="2" t="s">
        <v>1631</v>
      </c>
      <c r="O63" s="2" t="s">
        <v>919</v>
      </c>
      <c r="P63" s="2" t="s">
        <v>4703</v>
      </c>
      <c r="Q63" s="2" t="s">
        <v>4450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45" x14ac:dyDescent="0.25">
      <c r="A64" s="2" t="s">
        <v>99</v>
      </c>
      <c r="B64" s="2" t="s">
        <v>4886</v>
      </c>
      <c r="C64" s="2" t="s">
        <v>4698</v>
      </c>
      <c r="D64" s="2" t="s">
        <v>4708</v>
      </c>
      <c r="E64" s="2" t="s">
        <v>4905</v>
      </c>
      <c r="F64" s="2" t="s">
        <v>4546</v>
      </c>
      <c r="G64" s="2" t="s">
        <v>4598</v>
      </c>
      <c r="H64" s="2" t="s">
        <v>4700</v>
      </c>
      <c r="I64" s="2" t="s">
        <v>4701</v>
      </c>
      <c r="J64" s="2" t="s">
        <v>215</v>
      </c>
      <c r="K64" s="2" t="s">
        <v>4609</v>
      </c>
      <c r="L64" s="2" t="s">
        <v>4598</v>
      </c>
      <c r="M64" s="2"/>
      <c r="N64" s="2" t="s">
        <v>1631</v>
      </c>
      <c r="O64" s="2" t="s">
        <v>919</v>
      </c>
      <c r="P64" s="2" t="s">
        <v>4703</v>
      </c>
      <c r="Q64" s="2" t="s">
        <v>4450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60" x14ac:dyDescent="0.25">
      <c r="A65" s="2" t="s">
        <v>70</v>
      </c>
      <c r="B65" s="2" t="s">
        <v>4886</v>
      </c>
      <c r="C65" s="2" t="s">
        <v>4916</v>
      </c>
      <c r="D65" s="2" t="s">
        <v>4917</v>
      </c>
      <c r="E65" s="2" t="s">
        <v>4918</v>
      </c>
      <c r="F65" s="2" t="s">
        <v>4446</v>
      </c>
      <c r="G65" s="2" t="s">
        <v>4919</v>
      </c>
      <c r="H65" s="2" t="s">
        <v>4608</v>
      </c>
      <c r="I65" s="2" t="s">
        <v>4920</v>
      </c>
      <c r="J65" s="2" t="s">
        <v>215</v>
      </c>
      <c r="K65" s="2" t="s">
        <v>4609</v>
      </c>
      <c r="L65" s="2" t="s">
        <v>1079</v>
      </c>
      <c r="M65" s="2" t="s">
        <v>866</v>
      </c>
      <c r="N65" s="2" t="s">
        <v>4921</v>
      </c>
      <c r="O65" s="2" t="s">
        <v>919</v>
      </c>
      <c r="P65" s="2" t="s">
        <v>4922</v>
      </c>
      <c r="Q65" s="2" t="s">
        <v>4450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60" x14ac:dyDescent="0.25">
      <c r="A66" s="2" t="s">
        <v>70</v>
      </c>
      <c r="B66" s="2" t="s">
        <v>4886</v>
      </c>
      <c r="C66" s="2" t="s">
        <v>4916</v>
      </c>
      <c r="D66" s="2" t="s">
        <v>4923</v>
      </c>
      <c r="E66" s="2" t="s">
        <v>4924</v>
      </c>
      <c r="F66" s="2" t="s">
        <v>4446</v>
      </c>
      <c r="G66" s="2" t="s">
        <v>4919</v>
      </c>
      <c r="H66" s="2" t="s">
        <v>4608</v>
      </c>
      <c r="I66" s="2" t="s">
        <v>4920</v>
      </c>
      <c r="J66" s="2" t="s">
        <v>215</v>
      </c>
      <c r="K66" s="2" t="s">
        <v>4609</v>
      </c>
      <c r="L66" s="2" t="s">
        <v>1079</v>
      </c>
      <c r="M66" s="2" t="s">
        <v>866</v>
      </c>
      <c r="N66" s="2" t="s">
        <v>4921</v>
      </c>
      <c r="O66" s="2" t="s">
        <v>919</v>
      </c>
      <c r="P66" s="2" t="s">
        <v>4925</v>
      </c>
      <c r="Q66" s="2" t="s">
        <v>4450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60" x14ac:dyDescent="0.25">
      <c r="A67" s="2" t="s">
        <v>70</v>
      </c>
      <c r="B67" s="2" t="s">
        <v>4886</v>
      </c>
      <c r="C67" s="2" t="s">
        <v>4916</v>
      </c>
      <c r="D67" s="2" t="s">
        <v>4926</v>
      </c>
      <c r="E67" s="2" t="s">
        <v>4927</v>
      </c>
      <c r="F67" s="2" t="s">
        <v>4446</v>
      </c>
      <c r="G67" s="2" t="s">
        <v>4919</v>
      </c>
      <c r="H67" s="2" t="s">
        <v>4608</v>
      </c>
      <c r="I67" s="2" t="s">
        <v>4920</v>
      </c>
      <c r="J67" s="2" t="s">
        <v>215</v>
      </c>
      <c r="K67" s="2" t="s">
        <v>4609</v>
      </c>
      <c r="L67" s="2" t="s">
        <v>1079</v>
      </c>
      <c r="M67" s="2" t="s">
        <v>866</v>
      </c>
      <c r="N67" s="2" t="s">
        <v>4921</v>
      </c>
      <c r="O67" s="2" t="s">
        <v>919</v>
      </c>
      <c r="P67" s="2" t="s">
        <v>4928</v>
      </c>
      <c r="Q67" s="2" t="s">
        <v>4450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60" x14ac:dyDescent="0.25">
      <c r="A68" s="2" t="s">
        <v>74</v>
      </c>
      <c r="B68" s="2" t="s">
        <v>4886</v>
      </c>
      <c r="C68" s="2" t="s">
        <v>4929</v>
      </c>
      <c r="D68" s="2" t="s">
        <v>4930</v>
      </c>
      <c r="E68" s="2" t="s">
        <v>866</v>
      </c>
      <c r="F68" s="2" t="s">
        <v>4487</v>
      </c>
      <c r="G68" s="2" t="s">
        <v>866</v>
      </c>
      <c r="H68" s="2" t="s">
        <v>4931</v>
      </c>
      <c r="I68" s="2" t="s">
        <v>4932</v>
      </c>
      <c r="J68" s="2" t="s">
        <v>215</v>
      </c>
      <c r="K68" s="2" t="s">
        <v>4678</v>
      </c>
      <c r="L68" s="2" t="s">
        <v>1079</v>
      </c>
      <c r="M68" s="2" t="s">
        <v>866</v>
      </c>
      <c r="N68" s="2" t="s">
        <v>1959</v>
      </c>
      <c r="O68" s="2" t="s">
        <v>919</v>
      </c>
      <c r="P68" s="2" t="s">
        <v>4933</v>
      </c>
      <c r="Q68" s="2" t="s">
        <v>4450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45" x14ac:dyDescent="0.25">
      <c r="A69" s="2" t="s">
        <v>70</v>
      </c>
      <c r="B69" s="2" t="s">
        <v>4886</v>
      </c>
      <c r="C69" s="2" t="s">
        <v>4934</v>
      </c>
      <c r="D69" s="2" t="s">
        <v>4935</v>
      </c>
      <c r="E69" s="2" t="s">
        <v>866</v>
      </c>
      <c r="F69" s="2" t="s">
        <v>4936</v>
      </c>
      <c r="G69" s="2" t="s">
        <v>4937</v>
      </c>
      <c r="H69" s="2" t="s">
        <v>4938</v>
      </c>
      <c r="I69" s="2" t="s">
        <v>4939</v>
      </c>
      <c r="J69" s="2" t="s">
        <v>225</v>
      </c>
      <c r="K69" s="2" t="s">
        <v>4940</v>
      </c>
      <c r="L69" s="2" t="s">
        <v>1079</v>
      </c>
      <c r="M69" s="2" t="s">
        <v>4941</v>
      </c>
      <c r="N69" s="2" t="s">
        <v>780</v>
      </c>
      <c r="O69" s="2" t="s">
        <v>919</v>
      </c>
      <c r="P69" s="2" t="s">
        <v>4942</v>
      </c>
      <c r="Q69" s="2" t="s">
        <v>4450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75" x14ac:dyDescent="0.25">
      <c r="A70" s="2" t="s">
        <v>70</v>
      </c>
      <c r="B70" s="2" t="s">
        <v>4886</v>
      </c>
      <c r="C70" s="2" t="s">
        <v>4943</v>
      </c>
      <c r="D70" s="2" t="s">
        <v>4944</v>
      </c>
      <c r="E70" s="2" t="s">
        <v>4945</v>
      </c>
      <c r="F70" s="2" t="s">
        <v>4946</v>
      </c>
      <c r="G70" s="2" t="s">
        <v>4330</v>
      </c>
      <c r="H70" s="2" t="s">
        <v>4947</v>
      </c>
      <c r="I70" s="2" t="s">
        <v>4948</v>
      </c>
      <c r="J70" s="2" t="s">
        <v>215</v>
      </c>
      <c r="K70" s="2" t="s">
        <v>4949</v>
      </c>
      <c r="L70" s="2" t="s">
        <v>1079</v>
      </c>
      <c r="M70" s="2" t="s">
        <v>866</v>
      </c>
      <c r="N70" s="2" t="s">
        <v>4950</v>
      </c>
      <c r="O70" s="2" t="s">
        <v>919</v>
      </c>
      <c r="P70" s="2" t="s">
        <v>4951</v>
      </c>
      <c r="Q70" s="2" t="s">
        <v>4450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45" x14ac:dyDescent="0.25">
      <c r="A71" s="2" t="s">
        <v>73</v>
      </c>
      <c r="B71" s="2" t="s">
        <v>4886</v>
      </c>
      <c r="C71" s="2" t="s">
        <v>4269</v>
      </c>
      <c r="D71" s="2" t="s">
        <v>4952</v>
      </c>
      <c r="E71" s="2" t="s">
        <v>4953</v>
      </c>
      <c r="F71" s="2" t="s">
        <v>4954</v>
      </c>
      <c r="G71" s="2" t="s">
        <v>4955</v>
      </c>
      <c r="H71" s="2" t="s">
        <v>4956</v>
      </c>
      <c r="I71" s="2" t="s">
        <v>4957</v>
      </c>
      <c r="J71" s="2" t="s">
        <v>225</v>
      </c>
      <c r="K71" s="2" t="s">
        <v>4958</v>
      </c>
      <c r="L71" s="2" t="s">
        <v>1079</v>
      </c>
      <c r="M71" s="2" t="s">
        <v>4959</v>
      </c>
      <c r="N71" s="2" t="s">
        <v>4960</v>
      </c>
      <c r="O71" s="2" t="s">
        <v>919</v>
      </c>
      <c r="P71" s="2"/>
      <c r="Q71" s="2" t="s">
        <v>4450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30" x14ac:dyDescent="0.25">
      <c r="A72" s="2" t="s">
        <v>83</v>
      </c>
      <c r="B72" s="2" t="s">
        <v>4886</v>
      </c>
      <c r="C72" s="2" t="s">
        <v>4269</v>
      </c>
      <c r="D72" s="2" t="s">
        <v>4961</v>
      </c>
      <c r="E72" s="2" t="s">
        <v>4962</v>
      </c>
      <c r="F72" s="2" t="s">
        <v>866</v>
      </c>
      <c r="G72" s="2" t="s">
        <v>4963</v>
      </c>
      <c r="H72" s="2" t="s">
        <v>4956</v>
      </c>
      <c r="I72" s="2" t="s">
        <v>4957</v>
      </c>
      <c r="J72" s="2" t="s">
        <v>225</v>
      </c>
      <c r="K72" s="2" t="s">
        <v>4964</v>
      </c>
      <c r="L72" s="2" t="s">
        <v>1079</v>
      </c>
      <c r="M72" s="2" t="s">
        <v>866</v>
      </c>
      <c r="N72" s="2" t="s">
        <v>771</v>
      </c>
      <c r="O72" s="2" t="s">
        <v>919</v>
      </c>
      <c r="P72" s="2" t="s">
        <v>4965</v>
      </c>
      <c r="Q72" s="2" t="s">
        <v>4450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45" x14ac:dyDescent="0.25">
      <c r="A73" s="2" t="s">
        <v>75</v>
      </c>
      <c r="B73" s="2" t="s">
        <v>4886</v>
      </c>
      <c r="C73" s="2" t="s">
        <v>4966</v>
      </c>
      <c r="D73" s="2" t="s">
        <v>4967</v>
      </c>
      <c r="E73" s="2" t="s">
        <v>4968</v>
      </c>
      <c r="F73" s="2" t="s">
        <v>866</v>
      </c>
      <c r="G73" s="2" t="s">
        <v>4969</v>
      </c>
      <c r="H73" s="2" t="s">
        <v>4970</v>
      </c>
      <c r="I73" s="2" t="s">
        <v>4971</v>
      </c>
      <c r="J73" s="2" t="s">
        <v>225</v>
      </c>
      <c r="K73" s="2" t="s">
        <v>4972</v>
      </c>
      <c r="L73" s="2" t="s">
        <v>1079</v>
      </c>
      <c r="M73" s="2" t="s">
        <v>4973</v>
      </c>
      <c r="N73" s="2" t="s">
        <v>4974</v>
      </c>
      <c r="O73" s="2" t="s">
        <v>919</v>
      </c>
      <c r="P73" s="2" t="s">
        <v>4975</v>
      </c>
      <c r="Q73" s="2" t="s">
        <v>4450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45" x14ac:dyDescent="0.25">
      <c r="A74" s="2" t="s">
        <v>75</v>
      </c>
      <c r="B74" s="2" t="s">
        <v>4893</v>
      </c>
      <c r="C74" s="2" t="s">
        <v>4976</v>
      </c>
      <c r="D74" s="2" t="s">
        <v>4977</v>
      </c>
      <c r="E74" s="2" t="s">
        <v>4978</v>
      </c>
      <c r="F74" s="2" t="s">
        <v>866</v>
      </c>
      <c r="G74" s="2" t="s">
        <v>866</v>
      </c>
      <c r="H74" s="2" t="s">
        <v>4979</v>
      </c>
      <c r="I74" s="2" t="s">
        <v>4980</v>
      </c>
      <c r="J74" s="2" t="s">
        <v>225</v>
      </c>
      <c r="K74" s="2" t="s">
        <v>4981</v>
      </c>
      <c r="L74" s="2" t="s">
        <v>2269</v>
      </c>
      <c r="M74" s="2" t="s">
        <v>4982</v>
      </c>
      <c r="N74" s="2" t="s">
        <v>4983</v>
      </c>
      <c r="O74" s="2" t="s">
        <v>919</v>
      </c>
      <c r="P74" s="2" t="s">
        <v>4984</v>
      </c>
      <c r="Q74" s="2" t="s">
        <v>4450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45" x14ac:dyDescent="0.25">
      <c r="A75" s="2" t="s">
        <v>88</v>
      </c>
      <c r="B75" s="2" t="s">
        <v>4886</v>
      </c>
      <c r="C75" s="2" t="s">
        <v>4269</v>
      </c>
      <c r="D75" s="2" t="s">
        <v>4985</v>
      </c>
      <c r="E75" s="2" t="s">
        <v>4962</v>
      </c>
      <c r="F75" s="2" t="s">
        <v>866</v>
      </c>
      <c r="G75" s="2" t="s">
        <v>4963</v>
      </c>
      <c r="H75" s="2" t="s">
        <v>4956</v>
      </c>
      <c r="I75" s="2" t="s">
        <v>4957</v>
      </c>
      <c r="J75" s="2" t="s">
        <v>225</v>
      </c>
      <c r="K75" s="2" t="s">
        <v>4986</v>
      </c>
      <c r="L75" s="2" t="s">
        <v>1079</v>
      </c>
      <c r="M75" s="2" t="s">
        <v>4987</v>
      </c>
      <c r="N75" s="2" t="s">
        <v>4988</v>
      </c>
      <c r="O75" s="2" t="s">
        <v>919</v>
      </c>
      <c r="P75" s="2"/>
      <c r="Q75" s="2" t="s">
        <v>4450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30" x14ac:dyDescent="0.25">
      <c r="A76" s="2" t="s">
        <v>94</v>
      </c>
      <c r="B76" s="2" t="s">
        <v>4886</v>
      </c>
      <c r="C76" s="2" t="s">
        <v>4269</v>
      </c>
      <c r="D76" s="2" t="s">
        <v>4989</v>
      </c>
      <c r="E76" s="2" t="s">
        <v>4962</v>
      </c>
      <c r="F76" s="2" t="s">
        <v>866</v>
      </c>
      <c r="G76" s="2" t="s">
        <v>4963</v>
      </c>
      <c r="H76" s="2" t="s">
        <v>4956</v>
      </c>
      <c r="I76" s="2" t="s">
        <v>4957</v>
      </c>
      <c r="J76" s="2" t="s">
        <v>225</v>
      </c>
      <c r="K76" s="2" t="s">
        <v>4990</v>
      </c>
      <c r="L76" s="2" t="s">
        <v>1079</v>
      </c>
      <c r="M76" s="2" t="s">
        <v>4991</v>
      </c>
      <c r="N76" s="2" t="s">
        <v>4992</v>
      </c>
      <c r="O76" s="2" t="s">
        <v>919</v>
      </c>
      <c r="P76" s="2"/>
      <c r="Q76" s="2" t="s">
        <v>4450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45" x14ac:dyDescent="0.25">
      <c r="A77" s="2" t="s">
        <v>94</v>
      </c>
      <c r="B77" s="2" t="s">
        <v>4893</v>
      </c>
      <c r="C77" s="2" t="s">
        <v>4643</v>
      </c>
      <c r="D77" s="2" t="s">
        <v>4993</v>
      </c>
      <c r="E77" s="2" t="s">
        <v>866</v>
      </c>
      <c r="F77" s="2" t="s">
        <v>866</v>
      </c>
      <c r="G77" s="2" t="s">
        <v>866</v>
      </c>
      <c r="H77" s="2" t="s">
        <v>4994</v>
      </c>
      <c r="I77" s="2" t="s">
        <v>4995</v>
      </c>
      <c r="J77" s="2" t="s">
        <v>215</v>
      </c>
      <c r="K77" s="2" t="s">
        <v>4996</v>
      </c>
      <c r="L77" s="2" t="s">
        <v>2269</v>
      </c>
      <c r="M77" s="2" t="s">
        <v>4997</v>
      </c>
      <c r="N77" s="2" t="s">
        <v>4998</v>
      </c>
      <c r="O77" s="2" t="s">
        <v>919</v>
      </c>
      <c r="P77" s="2"/>
      <c r="Q77" s="2" t="s">
        <v>4450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30" x14ac:dyDescent="0.25">
      <c r="A78" s="2" t="s">
        <v>96</v>
      </c>
      <c r="B78" s="2" t="s">
        <v>4886</v>
      </c>
      <c r="C78" s="2" t="s">
        <v>4269</v>
      </c>
      <c r="D78" s="2" t="s">
        <v>4999</v>
      </c>
      <c r="E78" s="2" t="s">
        <v>4962</v>
      </c>
      <c r="F78" s="2" t="s">
        <v>866</v>
      </c>
      <c r="G78" s="2" t="s">
        <v>4963</v>
      </c>
      <c r="H78" s="2" t="s">
        <v>4956</v>
      </c>
      <c r="I78" s="2" t="s">
        <v>4957</v>
      </c>
      <c r="J78" s="2" t="s">
        <v>225</v>
      </c>
      <c r="K78" s="2" t="s">
        <v>5000</v>
      </c>
      <c r="L78" s="2" t="s">
        <v>1079</v>
      </c>
      <c r="M78" s="2" t="s">
        <v>5001</v>
      </c>
      <c r="N78" s="2" t="s">
        <v>1961</v>
      </c>
      <c r="O78" s="2" t="s">
        <v>919</v>
      </c>
      <c r="P78" s="2"/>
      <c r="Q78" s="2" t="s">
        <v>4450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30" x14ac:dyDescent="0.25">
      <c r="A79" s="2" t="s">
        <v>93</v>
      </c>
      <c r="B79" s="2" t="s">
        <v>5002</v>
      </c>
      <c r="C79" s="2" t="s">
        <v>5003</v>
      </c>
      <c r="D79" s="2" t="s">
        <v>5004</v>
      </c>
      <c r="E79" s="2" t="s">
        <v>607</v>
      </c>
      <c r="F79" s="2" t="s">
        <v>228</v>
      </c>
      <c r="G79" s="2" t="s">
        <v>228</v>
      </c>
      <c r="H79" s="2" t="s">
        <v>228</v>
      </c>
      <c r="I79" s="2" t="s">
        <v>4639</v>
      </c>
      <c r="J79" s="2" t="s">
        <v>225</v>
      </c>
      <c r="K79" s="2" t="s">
        <v>5005</v>
      </c>
      <c r="L79" s="2" t="s">
        <v>5006</v>
      </c>
      <c r="M79" s="2" t="s">
        <v>5007</v>
      </c>
      <c r="N79" s="2" t="s">
        <v>777</v>
      </c>
      <c r="O79" s="2" t="s">
        <v>919</v>
      </c>
      <c r="P79" s="2"/>
      <c r="Q79" s="2" t="s">
        <v>4450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45" x14ac:dyDescent="0.25">
      <c r="A80" s="2" t="s">
        <v>87</v>
      </c>
      <c r="B80" s="2" t="s">
        <v>4886</v>
      </c>
      <c r="C80" s="2" t="s">
        <v>5008</v>
      </c>
      <c r="D80" s="2" t="s">
        <v>5009</v>
      </c>
      <c r="E80" s="2" t="s">
        <v>5010</v>
      </c>
      <c r="F80" s="2" t="s">
        <v>5011</v>
      </c>
      <c r="G80" s="2" t="s">
        <v>5012</v>
      </c>
      <c r="H80" s="2" t="s">
        <v>5013</v>
      </c>
      <c r="I80" s="2" t="s">
        <v>5014</v>
      </c>
      <c r="J80" s="2" t="s">
        <v>225</v>
      </c>
      <c r="K80" s="2" t="s">
        <v>5015</v>
      </c>
      <c r="L80" s="2" t="s">
        <v>1079</v>
      </c>
      <c r="M80" s="2" t="s">
        <v>5016</v>
      </c>
      <c r="N80" s="2" t="s">
        <v>1629</v>
      </c>
      <c r="O80" s="2" t="s">
        <v>919</v>
      </c>
      <c r="P80" s="2" t="s">
        <v>5017</v>
      </c>
      <c r="Q80" s="2" t="s">
        <v>4450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45" x14ac:dyDescent="0.25">
      <c r="A81" s="2" t="s">
        <v>98</v>
      </c>
      <c r="B81" s="2" t="s">
        <v>4886</v>
      </c>
      <c r="C81" s="2" t="s">
        <v>4687</v>
      </c>
      <c r="D81" s="2" t="s">
        <v>625</v>
      </c>
      <c r="E81" s="2" t="s">
        <v>5018</v>
      </c>
      <c r="F81" s="2" t="s">
        <v>866</v>
      </c>
      <c r="G81" s="2" t="s">
        <v>5019</v>
      </c>
      <c r="H81" s="2" t="s">
        <v>5020</v>
      </c>
      <c r="I81" s="2" t="s">
        <v>4447</v>
      </c>
      <c r="J81" s="2" t="s">
        <v>225</v>
      </c>
      <c r="K81" s="2" t="s">
        <v>5021</v>
      </c>
      <c r="L81" s="2" t="s">
        <v>5022</v>
      </c>
      <c r="M81" s="2" t="s">
        <v>5023</v>
      </c>
      <c r="N81" s="2" t="s">
        <v>4411</v>
      </c>
      <c r="O81" s="2" t="s">
        <v>919</v>
      </c>
      <c r="P81" s="2"/>
      <c r="Q81" s="2" t="s">
        <v>4450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30" x14ac:dyDescent="0.25">
      <c r="A82" s="2" t="s">
        <v>97</v>
      </c>
      <c r="B82" s="2" t="s">
        <v>4893</v>
      </c>
      <c r="C82" s="2" t="s">
        <v>5024</v>
      </c>
      <c r="D82" s="2" t="s">
        <v>5024</v>
      </c>
      <c r="E82" s="2" t="s">
        <v>866</v>
      </c>
      <c r="F82" s="2" t="s">
        <v>866</v>
      </c>
      <c r="G82" s="2" t="s">
        <v>866</v>
      </c>
      <c r="H82" s="2" t="s">
        <v>5025</v>
      </c>
      <c r="I82" s="2" t="s">
        <v>866</v>
      </c>
      <c r="J82" s="2" t="s">
        <v>866</v>
      </c>
      <c r="K82" s="2" t="s">
        <v>866</v>
      </c>
      <c r="L82" s="2" t="s">
        <v>5026</v>
      </c>
      <c r="M82" s="2" t="s">
        <v>5027</v>
      </c>
      <c r="N82" s="2" t="s">
        <v>796</v>
      </c>
      <c r="O82" s="2" t="s">
        <v>919</v>
      </c>
      <c r="P82" s="2"/>
      <c r="Q82" s="2" t="s">
        <v>4450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60" x14ac:dyDescent="0.25">
      <c r="A83" s="2" t="s">
        <v>85</v>
      </c>
      <c r="B83" s="2" t="s">
        <v>5028</v>
      </c>
      <c r="C83" s="2" t="s">
        <v>5029</v>
      </c>
      <c r="D83" s="2" t="s">
        <v>5030</v>
      </c>
      <c r="E83" s="2" t="s">
        <v>866</v>
      </c>
      <c r="F83" s="2" t="s">
        <v>866</v>
      </c>
      <c r="G83" s="2" t="s">
        <v>866</v>
      </c>
      <c r="H83" s="2" t="s">
        <v>866</v>
      </c>
      <c r="I83" s="2" t="s">
        <v>5031</v>
      </c>
      <c r="J83" s="2" t="s">
        <v>866</v>
      </c>
      <c r="K83" s="2" t="s">
        <v>866</v>
      </c>
      <c r="L83" s="2" t="s">
        <v>5032</v>
      </c>
      <c r="M83" s="2" t="s">
        <v>5033</v>
      </c>
      <c r="N83" s="2" t="s">
        <v>792</v>
      </c>
      <c r="O83" s="2" t="s">
        <v>919</v>
      </c>
      <c r="P83" s="2"/>
      <c r="Q83" s="2" t="s">
        <v>4450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45" x14ac:dyDescent="0.25">
      <c r="A84" s="2" t="s">
        <v>89</v>
      </c>
      <c r="B84" s="2" t="s">
        <v>4886</v>
      </c>
      <c r="C84" s="2" t="s">
        <v>4522</v>
      </c>
      <c r="D84" s="2" t="s">
        <v>5034</v>
      </c>
      <c r="E84" s="2" t="s">
        <v>607</v>
      </c>
      <c r="F84" s="2" t="s">
        <v>4446</v>
      </c>
      <c r="G84" s="2" t="s">
        <v>5035</v>
      </c>
      <c r="H84" s="2" t="s">
        <v>5036</v>
      </c>
      <c r="I84" s="2" t="s">
        <v>5037</v>
      </c>
      <c r="J84" s="2" t="s">
        <v>4522</v>
      </c>
      <c r="K84" s="2" t="s">
        <v>5038</v>
      </c>
      <c r="L84" s="2" t="s">
        <v>1079</v>
      </c>
      <c r="M84" s="2" t="s">
        <v>5039</v>
      </c>
      <c r="N84" s="2" t="s">
        <v>4410</v>
      </c>
      <c r="O84" s="2" t="s">
        <v>919</v>
      </c>
      <c r="P84" s="2"/>
      <c r="Q84" s="2" t="s">
        <v>4450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45" x14ac:dyDescent="0.25">
      <c r="A85" s="2" t="s">
        <v>99</v>
      </c>
      <c r="B85" s="2" t="s">
        <v>4886</v>
      </c>
      <c r="C85" s="2" t="s">
        <v>5040</v>
      </c>
      <c r="D85" s="2" t="s">
        <v>5041</v>
      </c>
      <c r="E85" s="2" t="s">
        <v>5042</v>
      </c>
      <c r="F85" s="2" t="s">
        <v>4546</v>
      </c>
      <c r="G85" s="2" t="s">
        <v>5043</v>
      </c>
      <c r="H85" s="2" t="s">
        <v>5044</v>
      </c>
      <c r="I85" s="2" t="s">
        <v>4678</v>
      </c>
      <c r="J85" s="2" t="s">
        <v>215</v>
      </c>
      <c r="K85" s="2" t="s">
        <v>5045</v>
      </c>
      <c r="L85" s="2" t="s">
        <v>1079</v>
      </c>
      <c r="M85" s="2" t="s">
        <v>5046</v>
      </c>
      <c r="N85" s="2" t="s">
        <v>1631</v>
      </c>
      <c r="O85" s="2" t="s">
        <v>919</v>
      </c>
      <c r="P85" s="2" t="s">
        <v>5047</v>
      </c>
      <c r="Q85" s="2" t="s">
        <v>4450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45" x14ac:dyDescent="0.25">
      <c r="A86" s="2" t="s">
        <v>70</v>
      </c>
      <c r="B86" s="2" t="s">
        <v>4893</v>
      </c>
      <c r="C86" s="2" t="s">
        <v>5048</v>
      </c>
      <c r="D86" s="2" t="s">
        <v>5049</v>
      </c>
      <c r="E86" s="2" t="s">
        <v>866</v>
      </c>
      <c r="F86" s="2" t="s">
        <v>866</v>
      </c>
      <c r="G86" s="2" t="s">
        <v>866</v>
      </c>
      <c r="H86" s="2" t="s">
        <v>866</v>
      </c>
      <c r="I86" s="2" t="s">
        <v>866</v>
      </c>
      <c r="J86" s="2" t="s">
        <v>866</v>
      </c>
      <c r="K86" s="2" t="s">
        <v>866</v>
      </c>
      <c r="L86" s="2" t="s">
        <v>5050</v>
      </c>
      <c r="M86" s="2" t="s">
        <v>5049</v>
      </c>
      <c r="N86" s="2" t="s">
        <v>866</v>
      </c>
      <c r="O86" s="2" t="s">
        <v>919</v>
      </c>
      <c r="P86" s="2"/>
      <c r="Q86" s="2" t="s">
        <v>5051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45" x14ac:dyDescent="0.25">
      <c r="A87" s="2" t="s">
        <v>71</v>
      </c>
      <c r="B87" s="2" t="s">
        <v>4893</v>
      </c>
      <c r="C87" s="2" t="s">
        <v>5048</v>
      </c>
      <c r="D87" s="2" t="s">
        <v>5049</v>
      </c>
      <c r="E87" s="2" t="s">
        <v>866</v>
      </c>
      <c r="F87" s="2" t="s">
        <v>866</v>
      </c>
      <c r="G87" s="2" t="s">
        <v>866</v>
      </c>
      <c r="H87" s="2" t="s">
        <v>866</v>
      </c>
      <c r="I87" s="2" t="s">
        <v>866</v>
      </c>
      <c r="J87" s="2" t="s">
        <v>866</v>
      </c>
      <c r="K87" s="2" t="s">
        <v>866</v>
      </c>
      <c r="L87" s="2" t="s">
        <v>5050</v>
      </c>
      <c r="M87" s="2" t="s">
        <v>5049</v>
      </c>
      <c r="N87" s="2" t="s">
        <v>866</v>
      </c>
      <c r="O87" s="2" t="s">
        <v>919</v>
      </c>
      <c r="P87" s="2"/>
      <c r="Q87" s="2" t="s">
        <v>5051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45" x14ac:dyDescent="0.25">
      <c r="A88" s="2" t="s">
        <v>72</v>
      </c>
      <c r="B88" s="2" t="s">
        <v>5052</v>
      </c>
      <c r="C88" s="2" t="s">
        <v>5053</v>
      </c>
      <c r="D88" s="2" t="s">
        <v>5054</v>
      </c>
      <c r="E88" s="2" t="s">
        <v>866</v>
      </c>
      <c r="F88" s="2" t="s">
        <v>866</v>
      </c>
      <c r="G88" s="2" t="s">
        <v>866</v>
      </c>
      <c r="H88" s="2" t="s">
        <v>866</v>
      </c>
      <c r="I88" s="2" t="s">
        <v>866</v>
      </c>
      <c r="J88" s="2" t="s">
        <v>866</v>
      </c>
      <c r="K88" s="2" t="s">
        <v>866</v>
      </c>
      <c r="L88" s="2" t="s">
        <v>866</v>
      </c>
      <c r="M88" s="2" t="s">
        <v>866</v>
      </c>
      <c r="N88" s="2" t="s">
        <v>866</v>
      </c>
      <c r="O88" s="2" t="s">
        <v>919</v>
      </c>
      <c r="P88" s="2"/>
      <c r="Q88" s="2" t="s">
        <v>5051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45" x14ac:dyDescent="0.25">
      <c r="A89" s="2" t="s">
        <v>73</v>
      </c>
      <c r="B89" s="2" t="s">
        <v>4893</v>
      </c>
      <c r="C89" s="2" t="s">
        <v>5048</v>
      </c>
      <c r="D89" s="2" t="s">
        <v>5049</v>
      </c>
      <c r="E89" s="2" t="s">
        <v>866</v>
      </c>
      <c r="F89" s="2" t="s">
        <v>866</v>
      </c>
      <c r="G89" s="2" t="s">
        <v>866</v>
      </c>
      <c r="H89" s="2" t="s">
        <v>866</v>
      </c>
      <c r="I89" s="2" t="s">
        <v>866</v>
      </c>
      <c r="J89" s="2" t="s">
        <v>866</v>
      </c>
      <c r="K89" s="2" t="s">
        <v>866</v>
      </c>
      <c r="L89" s="2" t="s">
        <v>5050</v>
      </c>
      <c r="M89" s="2" t="s">
        <v>5049</v>
      </c>
      <c r="N89" s="2" t="s">
        <v>866</v>
      </c>
      <c r="O89" s="2" t="s">
        <v>919</v>
      </c>
      <c r="P89" s="2"/>
      <c r="Q89" s="2" t="s">
        <v>5051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45" x14ac:dyDescent="0.25">
      <c r="A90" s="2" t="s">
        <v>74</v>
      </c>
      <c r="B90" s="2" t="s">
        <v>4893</v>
      </c>
      <c r="C90" s="2" t="s">
        <v>5048</v>
      </c>
      <c r="D90" s="2" t="s">
        <v>5049</v>
      </c>
      <c r="E90" s="2" t="s">
        <v>866</v>
      </c>
      <c r="F90" s="2" t="s">
        <v>866</v>
      </c>
      <c r="G90" s="2" t="s">
        <v>866</v>
      </c>
      <c r="H90" s="2" t="s">
        <v>866</v>
      </c>
      <c r="I90" s="2" t="s">
        <v>866</v>
      </c>
      <c r="J90" s="2" t="s">
        <v>866</v>
      </c>
      <c r="K90" s="2" t="s">
        <v>866</v>
      </c>
      <c r="L90" s="2" t="s">
        <v>5050</v>
      </c>
      <c r="M90" s="2" t="s">
        <v>5049</v>
      </c>
      <c r="N90" s="2" t="s">
        <v>866</v>
      </c>
      <c r="O90" s="2" t="s">
        <v>919</v>
      </c>
      <c r="P90" s="2"/>
      <c r="Q90" s="2" t="s">
        <v>5051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45" x14ac:dyDescent="0.25">
      <c r="A91" s="2" t="s">
        <v>76</v>
      </c>
      <c r="B91" s="2" t="s">
        <v>4893</v>
      </c>
      <c r="C91" s="2" t="s">
        <v>5048</v>
      </c>
      <c r="D91" s="2" t="s">
        <v>5049</v>
      </c>
      <c r="E91" s="2" t="s">
        <v>866</v>
      </c>
      <c r="F91" s="2" t="s">
        <v>866</v>
      </c>
      <c r="G91" s="2" t="s">
        <v>866</v>
      </c>
      <c r="H91" s="2" t="s">
        <v>866</v>
      </c>
      <c r="I91" s="2" t="s">
        <v>866</v>
      </c>
      <c r="J91" s="2" t="s">
        <v>866</v>
      </c>
      <c r="K91" s="2" t="s">
        <v>866</v>
      </c>
      <c r="L91" s="2" t="s">
        <v>5050</v>
      </c>
      <c r="M91" s="2" t="s">
        <v>5049</v>
      </c>
      <c r="N91" s="2" t="s">
        <v>866</v>
      </c>
      <c r="O91" s="2" t="s">
        <v>919</v>
      </c>
      <c r="P91" s="2"/>
      <c r="Q91" s="2" t="s">
        <v>5051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45" x14ac:dyDescent="0.25">
      <c r="A92" s="2" t="s">
        <v>77</v>
      </c>
      <c r="B92" s="2" t="s">
        <v>4893</v>
      </c>
      <c r="C92" s="2" t="s">
        <v>5048</v>
      </c>
      <c r="D92" s="2" t="s">
        <v>5049</v>
      </c>
      <c r="E92" s="2" t="s">
        <v>866</v>
      </c>
      <c r="F92" s="2" t="s">
        <v>866</v>
      </c>
      <c r="G92" s="2" t="s">
        <v>866</v>
      </c>
      <c r="H92" s="2" t="s">
        <v>866</v>
      </c>
      <c r="I92" s="2" t="s">
        <v>866</v>
      </c>
      <c r="J92" s="2" t="s">
        <v>866</v>
      </c>
      <c r="K92" s="2" t="s">
        <v>866</v>
      </c>
      <c r="L92" s="2" t="s">
        <v>5050</v>
      </c>
      <c r="M92" s="2" t="s">
        <v>5049</v>
      </c>
      <c r="N92" s="2" t="s">
        <v>866</v>
      </c>
      <c r="O92" s="2" t="s">
        <v>919</v>
      </c>
      <c r="P92" s="2"/>
      <c r="Q92" s="2" t="s">
        <v>5051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45" x14ac:dyDescent="0.25">
      <c r="A93" s="2" t="s">
        <v>78</v>
      </c>
      <c r="B93" s="2" t="s">
        <v>4893</v>
      </c>
      <c r="C93" s="2" t="s">
        <v>5048</v>
      </c>
      <c r="D93" s="2" t="s">
        <v>5049</v>
      </c>
      <c r="E93" s="2" t="s">
        <v>866</v>
      </c>
      <c r="F93" s="2" t="s">
        <v>866</v>
      </c>
      <c r="G93" s="2" t="s">
        <v>866</v>
      </c>
      <c r="H93" s="2" t="s">
        <v>866</v>
      </c>
      <c r="I93" s="2" t="s">
        <v>866</v>
      </c>
      <c r="J93" s="2" t="s">
        <v>866</v>
      </c>
      <c r="K93" s="2" t="s">
        <v>866</v>
      </c>
      <c r="L93" s="2" t="s">
        <v>5050</v>
      </c>
      <c r="M93" s="2" t="s">
        <v>5049</v>
      </c>
      <c r="N93" s="2" t="s">
        <v>866</v>
      </c>
      <c r="O93" s="2" t="s">
        <v>919</v>
      </c>
      <c r="P93" s="2"/>
      <c r="Q93" s="2" t="s">
        <v>5051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45" x14ac:dyDescent="0.25">
      <c r="A94" s="2" t="s">
        <v>79</v>
      </c>
      <c r="B94" s="2" t="s">
        <v>4893</v>
      </c>
      <c r="C94" s="2" t="s">
        <v>5048</v>
      </c>
      <c r="D94" s="2" t="s">
        <v>5049</v>
      </c>
      <c r="E94" s="2" t="s">
        <v>866</v>
      </c>
      <c r="F94" s="2" t="s">
        <v>866</v>
      </c>
      <c r="G94" s="2" t="s">
        <v>866</v>
      </c>
      <c r="H94" s="2" t="s">
        <v>866</v>
      </c>
      <c r="I94" s="2" t="s">
        <v>866</v>
      </c>
      <c r="J94" s="2" t="s">
        <v>866</v>
      </c>
      <c r="K94" s="2" t="s">
        <v>866</v>
      </c>
      <c r="L94" s="2" t="s">
        <v>5050</v>
      </c>
      <c r="M94" s="2" t="s">
        <v>5049</v>
      </c>
      <c r="N94" s="2" t="s">
        <v>866</v>
      </c>
      <c r="O94" s="2" t="s">
        <v>919</v>
      </c>
      <c r="P94" s="2"/>
      <c r="Q94" s="2" t="s">
        <v>5051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45" x14ac:dyDescent="0.25">
      <c r="A95" s="2" t="s">
        <v>80</v>
      </c>
      <c r="B95" s="2" t="s">
        <v>4893</v>
      </c>
      <c r="C95" s="2" t="s">
        <v>5048</v>
      </c>
      <c r="D95" s="2" t="s">
        <v>5049</v>
      </c>
      <c r="E95" s="2" t="s">
        <v>866</v>
      </c>
      <c r="F95" s="2" t="s">
        <v>866</v>
      </c>
      <c r="G95" s="2" t="s">
        <v>866</v>
      </c>
      <c r="H95" s="2" t="s">
        <v>866</v>
      </c>
      <c r="I95" s="2" t="s">
        <v>866</v>
      </c>
      <c r="J95" s="2" t="s">
        <v>866</v>
      </c>
      <c r="K95" s="2" t="s">
        <v>866</v>
      </c>
      <c r="L95" s="2" t="s">
        <v>5050</v>
      </c>
      <c r="M95" s="2" t="s">
        <v>5049</v>
      </c>
      <c r="N95" s="2" t="s">
        <v>866</v>
      </c>
      <c r="O95" s="2" t="s">
        <v>919</v>
      </c>
      <c r="P95" s="2"/>
      <c r="Q95" s="2" t="s">
        <v>5051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45" x14ac:dyDescent="0.25">
      <c r="A96" s="2" t="s">
        <v>81</v>
      </c>
      <c r="B96" s="2" t="s">
        <v>4893</v>
      </c>
      <c r="C96" s="2" t="s">
        <v>5048</v>
      </c>
      <c r="D96" s="2" t="s">
        <v>5049</v>
      </c>
      <c r="E96" s="2" t="s">
        <v>866</v>
      </c>
      <c r="F96" s="2" t="s">
        <v>866</v>
      </c>
      <c r="G96" s="2" t="s">
        <v>866</v>
      </c>
      <c r="H96" s="2" t="s">
        <v>866</v>
      </c>
      <c r="I96" s="2" t="s">
        <v>866</v>
      </c>
      <c r="J96" s="2" t="s">
        <v>866</v>
      </c>
      <c r="K96" s="2" t="s">
        <v>866</v>
      </c>
      <c r="L96" s="2" t="s">
        <v>5050</v>
      </c>
      <c r="M96" s="2" t="s">
        <v>5049</v>
      </c>
      <c r="N96" s="2" t="s">
        <v>866</v>
      </c>
      <c r="O96" s="2" t="s">
        <v>919</v>
      </c>
      <c r="P96" s="2"/>
      <c r="Q96" s="2" t="s">
        <v>5051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45" x14ac:dyDescent="0.25">
      <c r="A97" s="2" t="s">
        <v>82</v>
      </c>
      <c r="B97" s="2" t="s">
        <v>4893</v>
      </c>
      <c r="C97" s="2" t="s">
        <v>5048</v>
      </c>
      <c r="D97" s="2" t="s">
        <v>5049</v>
      </c>
      <c r="E97" s="2" t="s">
        <v>866</v>
      </c>
      <c r="F97" s="2" t="s">
        <v>866</v>
      </c>
      <c r="G97" s="2" t="s">
        <v>866</v>
      </c>
      <c r="H97" s="2" t="s">
        <v>866</v>
      </c>
      <c r="I97" s="2" t="s">
        <v>866</v>
      </c>
      <c r="J97" s="2" t="s">
        <v>866</v>
      </c>
      <c r="K97" s="2" t="s">
        <v>866</v>
      </c>
      <c r="L97" s="2" t="s">
        <v>5050</v>
      </c>
      <c r="M97" s="2" t="s">
        <v>5049</v>
      </c>
      <c r="N97" s="2" t="s">
        <v>866</v>
      </c>
      <c r="O97" s="2" t="s">
        <v>919</v>
      </c>
      <c r="P97" s="2"/>
      <c r="Q97" s="2" t="s">
        <v>5051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45" x14ac:dyDescent="0.25">
      <c r="A98" s="2" t="s">
        <v>83</v>
      </c>
      <c r="B98" s="2" t="s">
        <v>4893</v>
      </c>
      <c r="C98" s="2" t="s">
        <v>5048</v>
      </c>
      <c r="D98" s="2" t="s">
        <v>5049</v>
      </c>
      <c r="E98" s="2" t="s">
        <v>866</v>
      </c>
      <c r="F98" s="2" t="s">
        <v>866</v>
      </c>
      <c r="G98" s="2" t="s">
        <v>866</v>
      </c>
      <c r="H98" s="2" t="s">
        <v>866</v>
      </c>
      <c r="I98" s="2" t="s">
        <v>866</v>
      </c>
      <c r="J98" s="2" t="s">
        <v>866</v>
      </c>
      <c r="K98" s="2" t="s">
        <v>866</v>
      </c>
      <c r="L98" s="2" t="s">
        <v>5050</v>
      </c>
      <c r="M98" s="2" t="s">
        <v>5049</v>
      </c>
      <c r="N98" s="2" t="s">
        <v>866</v>
      </c>
      <c r="O98" s="2" t="s">
        <v>919</v>
      </c>
      <c r="P98" s="2"/>
      <c r="Q98" s="2" t="s">
        <v>5051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45" x14ac:dyDescent="0.25">
      <c r="A99" s="2" t="s">
        <v>84</v>
      </c>
      <c r="B99" s="2" t="s">
        <v>4893</v>
      </c>
      <c r="C99" s="2" t="s">
        <v>5048</v>
      </c>
      <c r="D99" s="2" t="s">
        <v>5049</v>
      </c>
      <c r="E99" s="2" t="s">
        <v>866</v>
      </c>
      <c r="F99" s="2" t="s">
        <v>866</v>
      </c>
      <c r="G99" s="2" t="s">
        <v>866</v>
      </c>
      <c r="H99" s="2" t="s">
        <v>866</v>
      </c>
      <c r="I99" s="2" t="s">
        <v>866</v>
      </c>
      <c r="J99" s="2" t="s">
        <v>866</v>
      </c>
      <c r="K99" s="2" t="s">
        <v>866</v>
      </c>
      <c r="L99" s="2" t="s">
        <v>5050</v>
      </c>
      <c r="M99" s="2" t="s">
        <v>5049</v>
      </c>
      <c r="N99" s="2" t="s">
        <v>866</v>
      </c>
      <c r="O99" s="2" t="s">
        <v>919</v>
      </c>
      <c r="P99" s="2"/>
      <c r="Q99" s="2" t="s">
        <v>5051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45" x14ac:dyDescent="0.25">
      <c r="A100" s="2" t="s">
        <v>85</v>
      </c>
      <c r="B100" s="2" t="s">
        <v>4893</v>
      </c>
      <c r="C100" s="2" t="s">
        <v>5048</v>
      </c>
      <c r="D100" s="2" t="s">
        <v>5049</v>
      </c>
      <c r="E100" s="2" t="s">
        <v>866</v>
      </c>
      <c r="F100" s="2" t="s">
        <v>866</v>
      </c>
      <c r="G100" s="2" t="s">
        <v>866</v>
      </c>
      <c r="H100" s="2" t="s">
        <v>866</v>
      </c>
      <c r="I100" s="2" t="s">
        <v>866</v>
      </c>
      <c r="J100" s="2" t="s">
        <v>866</v>
      </c>
      <c r="K100" s="2" t="s">
        <v>866</v>
      </c>
      <c r="L100" s="2" t="s">
        <v>5050</v>
      </c>
      <c r="M100" s="2" t="s">
        <v>5049</v>
      </c>
      <c r="N100" s="2" t="s">
        <v>866</v>
      </c>
      <c r="O100" s="2" t="s">
        <v>919</v>
      </c>
      <c r="P100" s="2"/>
      <c r="Q100" s="2" t="s">
        <v>5051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45" x14ac:dyDescent="0.25">
      <c r="A101" s="2" t="s">
        <v>86</v>
      </c>
      <c r="B101" s="2" t="s">
        <v>4893</v>
      </c>
      <c r="C101" s="2" t="s">
        <v>5048</v>
      </c>
      <c r="D101" s="2" t="s">
        <v>5049</v>
      </c>
      <c r="E101" s="2" t="s">
        <v>866</v>
      </c>
      <c r="F101" s="2" t="s">
        <v>866</v>
      </c>
      <c r="G101" s="2" t="s">
        <v>866</v>
      </c>
      <c r="H101" s="2" t="s">
        <v>866</v>
      </c>
      <c r="I101" s="2" t="s">
        <v>866</v>
      </c>
      <c r="J101" s="2" t="s">
        <v>866</v>
      </c>
      <c r="K101" s="2" t="s">
        <v>866</v>
      </c>
      <c r="L101" s="2" t="s">
        <v>5050</v>
      </c>
      <c r="M101" s="2" t="s">
        <v>5049</v>
      </c>
      <c r="N101" s="2" t="s">
        <v>866</v>
      </c>
      <c r="O101" s="2" t="s">
        <v>919</v>
      </c>
      <c r="P101" s="2"/>
      <c r="Q101" s="2" t="s">
        <v>5051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45" x14ac:dyDescent="0.25">
      <c r="A102" s="2" t="s">
        <v>87</v>
      </c>
      <c r="B102" s="2" t="s">
        <v>4893</v>
      </c>
      <c r="C102" s="2" t="s">
        <v>5048</v>
      </c>
      <c r="D102" s="2" t="s">
        <v>5049</v>
      </c>
      <c r="E102" s="2" t="s">
        <v>866</v>
      </c>
      <c r="F102" s="2" t="s">
        <v>866</v>
      </c>
      <c r="G102" s="2" t="s">
        <v>866</v>
      </c>
      <c r="H102" s="2" t="s">
        <v>866</v>
      </c>
      <c r="I102" s="2" t="s">
        <v>866</v>
      </c>
      <c r="J102" s="2" t="s">
        <v>866</v>
      </c>
      <c r="K102" s="2" t="s">
        <v>866</v>
      </c>
      <c r="L102" s="2" t="s">
        <v>5050</v>
      </c>
      <c r="M102" s="2" t="s">
        <v>5049</v>
      </c>
      <c r="N102" s="2" t="s">
        <v>866</v>
      </c>
      <c r="O102" s="2" t="s">
        <v>919</v>
      </c>
      <c r="P102" s="2"/>
      <c r="Q102" s="2" t="s">
        <v>5051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45" x14ac:dyDescent="0.25">
      <c r="A103" s="2" t="s">
        <v>88</v>
      </c>
      <c r="B103" s="2" t="s">
        <v>4893</v>
      </c>
      <c r="C103" s="2" t="s">
        <v>5048</v>
      </c>
      <c r="D103" s="2" t="s">
        <v>5049</v>
      </c>
      <c r="E103" s="2" t="s">
        <v>866</v>
      </c>
      <c r="F103" s="2" t="s">
        <v>866</v>
      </c>
      <c r="G103" s="2" t="s">
        <v>866</v>
      </c>
      <c r="H103" s="2" t="s">
        <v>866</v>
      </c>
      <c r="I103" s="2" t="s">
        <v>866</v>
      </c>
      <c r="J103" s="2" t="s">
        <v>866</v>
      </c>
      <c r="K103" s="2" t="s">
        <v>866</v>
      </c>
      <c r="L103" s="2" t="s">
        <v>5050</v>
      </c>
      <c r="M103" s="2" t="s">
        <v>5049</v>
      </c>
      <c r="N103" s="2" t="s">
        <v>866</v>
      </c>
      <c r="O103" s="2" t="s">
        <v>919</v>
      </c>
      <c r="P103" s="2"/>
      <c r="Q103" s="2" t="s">
        <v>5051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45" x14ac:dyDescent="0.25">
      <c r="A104" s="2" t="s">
        <v>89</v>
      </c>
      <c r="B104" s="2" t="s">
        <v>4893</v>
      </c>
      <c r="C104" s="2" t="s">
        <v>5048</v>
      </c>
      <c r="D104" s="2" t="s">
        <v>5049</v>
      </c>
      <c r="E104" s="2" t="s">
        <v>866</v>
      </c>
      <c r="F104" s="2" t="s">
        <v>866</v>
      </c>
      <c r="G104" s="2" t="s">
        <v>866</v>
      </c>
      <c r="H104" s="2" t="s">
        <v>866</v>
      </c>
      <c r="I104" s="2" t="s">
        <v>866</v>
      </c>
      <c r="J104" s="2" t="s">
        <v>866</v>
      </c>
      <c r="K104" s="2" t="s">
        <v>866</v>
      </c>
      <c r="L104" s="2" t="s">
        <v>5050</v>
      </c>
      <c r="M104" s="2" t="s">
        <v>5049</v>
      </c>
      <c r="N104" s="2" t="s">
        <v>866</v>
      </c>
      <c r="O104" s="2" t="s">
        <v>919</v>
      </c>
      <c r="P104" s="2"/>
      <c r="Q104" s="2" t="s">
        <v>5051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45" x14ac:dyDescent="0.25">
      <c r="A105" s="2" t="s">
        <v>90</v>
      </c>
      <c r="B105" s="2" t="s">
        <v>4893</v>
      </c>
      <c r="C105" s="2" t="s">
        <v>5048</v>
      </c>
      <c r="D105" s="2" t="s">
        <v>5049</v>
      </c>
      <c r="E105" s="2" t="s">
        <v>866</v>
      </c>
      <c r="F105" s="2" t="s">
        <v>866</v>
      </c>
      <c r="G105" s="2" t="s">
        <v>866</v>
      </c>
      <c r="H105" s="2" t="s">
        <v>866</v>
      </c>
      <c r="I105" s="2" t="s">
        <v>866</v>
      </c>
      <c r="J105" s="2" t="s">
        <v>866</v>
      </c>
      <c r="K105" s="2" t="s">
        <v>866</v>
      </c>
      <c r="L105" s="2" t="s">
        <v>5050</v>
      </c>
      <c r="M105" s="2" t="s">
        <v>5049</v>
      </c>
      <c r="N105" s="2" t="s">
        <v>866</v>
      </c>
      <c r="O105" s="2" t="s">
        <v>919</v>
      </c>
      <c r="P105" s="2"/>
      <c r="Q105" s="2" t="s">
        <v>5051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45" x14ac:dyDescent="0.25">
      <c r="A106" s="2" t="s">
        <v>91</v>
      </c>
      <c r="B106" s="2" t="s">
        <v>4893</v>
      </c>
      <c r="C106" s="2" t="s">
        <v>5048</v>
      </c>
      <c r="D106" s="2" t="s">
        <v>5049</v>
      </c>
      <c r="E106" s="2" t="s">
        <v>866</v>
      </c>
      <c r="F106" s="2" t="s">
        <v>866</v>
      </c>
      <c r="G106" s="2" t="s">
        <v>866</v>
      </c>
      <c r="H106" s="2" t="s">
        <v>866</v>
      </c>
      <c r="I106" s="2" t="s">
        <v>866</v>
      </c>
      <c r="J106" s="2" t="s">
        <v>866</v>
      </c>
      <c r="K106" s="2" t="s">
        <v>866</v>
      </c>
      <c r="L106" s="2" t="s">
        <v>5050</v>
      </c>
      <c r="M106" s="2" t="s">
        <v>5049</v>
      </c>
      <c r="N106" s="2" t="s">
        <v>866</v>
      </c>
      <c r="O106" s="2" t="s">
        <v>919</v>
      </c>
      <c r="P106" s="2"/>
      <c r="Q106" s="2" t="s">
        <v>5051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45" x14ac:dyDescent="0.25">
      <c r="A107" s="2" t="s">
        <v>92</v>
      </c>
      <c r="B107" s="2" t="s">
        <v>4893</v>
      </c>
      <c r="C107" s="2" t="s">
        <v>5048</v>
      </c>
      <c r="D107" s="2" t="s">
        <v>5049</v>
      </c>
      <c r="E107" s="2" t="s">
        <v>866</v>
      </c>
      <c r="F107" s="2" t="s">
        <v>866</v>
      </c>
      <c r="G107" s="2" t="s">
        <v>866</v>
      </c>
      <c r="H107" s="2" t="s">
        <v>866</v>
      </c>
      <c r="I107" s="2" t="s">
        <v>866</v>
      </c>
      <c r="J107" s="2" t="s">
        <v>866</v>
      </c>
      <c r="K107" s="2" t="s">
        <v>866</v>
      </c>
      <c r="L107" s="2" t="s">
        <v>5050</v>
      </c>
      <c r="M107" s="2" t="s">
        <v>5049</v>
      </c>
      <c r="N107" s="2" t="s">
        <v>866</v>
      </c>
      <c r="O107" s="2" t="s">
        <v>919</v>
      </c>
      <c r="P107" s="2"/>
      <c r="Q107" s="2" t="s">
        <v>5051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45" x14ac:dyDescent="0.25">
      <c r="A108" s="2" t="s">
        <v>95</v>
      </c>
      <c r="B108" s="2" t="s">
        <v>4893</v>
      </c>
      <c r="C108" s="2" t="s">
        <v>5048</v>
      </c>
      <c r="D108" s="2" t="s">
        <v>5870</v>
      </c>
      <c r="E108" s="2" t="s">
        <v>5871</v>
      </c>
      <c r="F108" s="2" t="s">
        <v>4446</v>
      </c>
      <c r="G108" s="2" t="s">
        <v>4919</v>
      </c>
      <c r="H108" s="2" t="s">
        <v>5872</v>
      </c>
      <c r="I108" s="2" t="s">
        <v>5872</v>
      </c>
      <c r="J108" s="2" t="s">
        <v>5873</v>
      </c>
      <c r="K108" s="2" t="s">
        <v>5874</v>
      </c>
      <c r="L108" s="2" t="s">
        <v>5875</v>
      </c>
      <c r="M108" s="2" t="s">
        <v>5876</v>
      </c>
      <c r="N108" s="2" t="s">
        <v>866</v>
      </c>
      <c r="O108" s="2" t="s">
        <v>919</v>
      </c>
      <c r="P108" s="2"/>
      <c r="Q108" s="2" t="s">
        <v>5051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45" x14ac:dyDescent="0.25">
      <c r="A109" s="2" t="s">
        <v>96</v>
      </c>
      <c r="B109" s="2" t="s">
        <v>4893</v>
      </c>
      <c r="C109" s="2" t="s">
        <v>5048</v>
      </c>
      <c r="D109" s="2" t="s">
        <v>5049</v>
      </c>
      <c r="E109" s="2" t="s">
        <v>866</v>
      </c>
      <c r="F109" s="2" t="s">
        <v>866</v>
      </c>
      <c r="G109" s="2" t="s">
        <v>866</v>
      </c>
      <c r="H109" s="2" t="s">
        <v>866</v>
      </c>
      <c r="I109" s="2" t="s">
        <v>866</v>
      </c>
      <c r="J109" s="2" t="s">
        <v>866</v>
      </c>
      <c r="K109" s="2" t="s">
        <v>866</v>
      </c>
      <c r="L109" s="2" t="s">
        <v>5050</v>
      </c>
      <c r="M109" s="2" t="s">
        <v>5049</v>
      </c>
      <c r="N109" s="2" t="s">
        <v>866</v>
      </c>
      <c r="O109" s="2" t="s">
        <v>919</v>
      </c>
      <c r="P109" s="2"/>
      <c r="Q109" s="2" t="s">
        <v>5051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45" x14ac:dyDescent="0.25">
      <c r="A110" s="2" t="s">
        <v>98</v>
      </c>
      <c r="B110" s="2" t="s">
        <v>4893</v>
      </c>
      <c r="C110" s="2" t="s">
        <v>5048</v>
      </c>
      <c r="D110" s="2" t="s">
        <v>5049</v>
      </c>
      <c r="E110" s="2" t="s">
        <v>866</v>
      </c>
      <c r="F110" s="2" t="s">
        <v>866</v>
      </c>
      <c r="G110" s="2" t="s">
        <v>866</v>
      </c>
      <c r="H110" s="2" t="s">
        <v>866</v>
      </c>
      <c r="I110" s="2" t="s">
        <v>866</v>
      </c>
      <c r="J110" s="2" t="s">
        <v>866</v>
      </c>
      <c r="K110" s="2" t="s">
        <v>866</v>
      </c>
      <c r="L110" s="2" t="s">
        <v>5050</v>
      </c>
      <c r="M110" s="2" t="s">
        <v>5049</v>
      </c>
      <c r="N110" s="2" t="s">
        <v>866</v>
      </c>
      <c r="O110" s="2" t="s">
        <v>919</v>
      </c>
      <c r="P110" s="2"/>
      <c r="Q110" s="2" t="s">
        <v>5051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45" x14ac:dyDescent="0.25">
      <c r="A111" s="2" t="s">
        <v>99</v>
      </c>
      <c r="B111" s="2" t="s">
        <v>4893</v>
      </c>
      <c r="C111" s="2" t="s">
        <v>5048</v>
      </c>
      <c r="D111" s="2" t="s">
        <v>5049</v>
      </c>
      <c r="E111" s="2" t="s">
        <v>866</v>
      </c>
      <c r="F111" s="2" t="s">
        <v>866</v>
      </c>
      <c r="G111" s="2" t="s">
        <v>866</v>
      </c>
      <c r="H111" s="2" t="s">
        <v>866</v>
      </c>
      <c r="I111" s="2" t="s">
        <v>866</v>
      </c>
      <c r="J111" s="2" t="s">
        <v>866</v>
      </c>
      <c r="K111" s="2" t="s">
        <v>866</v>
      </c>
      <c r="L111" s="2" t="s">
        <v>5050</v>
      </c>
      <c r="M111" s="2" t="s">
        <v>5049</v>
      </c>
      <c r="N111" s="2" t="s">
        <v>866</v>
      </c>
      <c r="O111" s="2" t="s">
        <v>919</v>
      </c>
      <c r="P111" s="2"/>
      <c r="Q111" s="2" t="s">
        <v>5051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</sheetData>
  <mergeCells count="1">
    <mergeCell ref="A1:A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32"/>
  <sheetViews>
    <sheetView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32" width="20" customWidth="1"/>
  </cols>
  <sheetData>
    <row r="1" spans="1:32" ht="27.95" customHeight="1" x14ac:dyDescent="0.3">
      <c r="A1" s="28" t="str">
        <f>IFERROR(HYPERLINK("#'Sheet Directory'!A1","Terms &amp; Privacy — general policy comparison, with hosted vs self-host scope called out"),"Terms &amp; Privacy — general policy comparison, with hosted vs self-host scope called out")</f>
        <v>Terms &amp; Privacy — general policy comparison, with hosted vs self-host scope called out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4426</v>
      </c>
      <c r="B2" s="11" t="s">
        <v>5055</v>
      </c>
      <c r="C2" s="11" t="s">
        <v>757</v>
      </c>
      <c r="D2" s="11" t="s">
        <v>5056</v>
      </c>
      <c r="E2" s="11" t="s">
        <v>2853</v>
      </c>
      <c r="F2" s="11" t="s">
        <v>5057</v>
      </c>
      <c r="G2" s="11" t="s">
        <v>5058</v>
      </c>
      <c r="H2" s="11" t="s">
        <v>5059</v>
      </c>
      <c r="I2" s="11" t="s">
        <v>5060</v>
      </c>
      <c r="J2" s="11" t="s">
        <v>5061</v>
      </c>
      <c r="K2" s="11" t="s">
        <v>5062</v>
      </c>
      <c r="L2" s="11" t="s">
        <v>779</v>
      </c>
      <c r="M2" s="11" t="s">
        <v>5063</v>
      </c>
      <c r="N2" s="11" t="s">
        <v>5064</v>
      </c>
      <c r="O2" s="11" t="s">
        <v>5065</v>
      </c>
      <c r="P2" s="11" t="s">
        <v>5066</v>
      </c>
      <c r="Q2" s="11" t="s">
        <v>5067</v>
      </c>
      <c r="R2" s="11" t="s">
        <v>5068</v>
      </c>
      <c r="S2" s="11" t="s">
        <v>5069</v>
      </c>
      <c r="T2" s="11" t="s">
        <v>5070</v>
      </c>
      <c r="U2" s="11" t="s">
        <v>5071</v>
      </c>
      <c r="V2" s="11" t="s">
        <v>5072</v>
      </c>
      <c r="W2" s="11" t="s">
        <v>5073</v>
      </c>
      <c r="X2" s="11" t="s">
        <v>4439</v>
      </c>
      <c r="Y2" s="11" t="s">
        <v>4441</v>
      </c>
      <c r="Z2" s="11"/>
      <c r="AA2" s="11"/>
      <c r="AB2" s="11"/>
      <c r="AC2" s="11"/>
      <c r="AD2" s="11"/>
      <c r="AE2" s="11"/>
      <c r="AF2" s="11"/>
    </row>
    <row r="3" spans="1:32" ht="90" x14ac:dyDescent="0.25">
      <c r="A3" s="2" t="s">
        <v>70</v>
      </c>
      <c r="B3" s="2" t="s">
        <v>5074</v>
      </c>
      <c r="C3" s="2" t="s">
        <v>758</v>
      </c>
      <c r="D3" s="2" t="s">
        <v>5075</v>
      </c>
      <c r="E3" s="2" t="s">
        <v>5076</v>
      </c>
      <c r="F3" s="2" t="s">
        <v>215</v>
      </c>
      <c r="G3" s="2" t="s">
        <v>5077</v>
      </c>
      <c r="H3" s="2" t="s">
        <v>215</v>
      </c>
      <c r="I3" s="2" t="s">
        <v>5078</v>
      </c>
      <c r="J3" s="2" t="s">
        <v>866</v>
      </c>
      <c r="K3" s="2" t="s">
        <v>5079</v>
      </c>
      <c r="L3" s="2" t="s">
        <v>780</v>
      </c>
      <c r="M3" s="2" t="s">
        <v>5080</v>
      </c>
      <c r="N3" s="2" t="s">
        <v>5081</v>
      </c>
      <c r="O3" s="2" t="s">
        <v>225</v>
      </c>
      <c r="P3" s="2" t="s">
        <v>5082</v>
      </c>
      <c r="Q3" s="2" t="s">
        <v>5083</v>
      </c>
      <c r="R3" s="2" t="s">
        <v>5084</v>
      </c>
      <c r="S3" s="2" t="s">
        <v>5085</v>
      </c>
      <c r="T3" s="2" t="s">
        <v>5086</v>
      </c>
      <c r="U3" s="2" t="s">
        <v>5087</v>
      </c>
      <c r="V3" s="2" t="s">
        <v>5088</v>
      </c>
      <c r="W3" s="2" t="s">
        <v>5089</v>
      </c>
      <c r="X3" s="2" t="s">
        <v>919</v>
      </c>
      <c r="Y3" s="2" t="s">
        <v>5090</v>
      </c>
      <c r="Z3" s="2"/>
      <c r="AA3" s="2"/>
      <c r="AB3" s="2"/>
      <c r="AC3" s="2"/>
      <c r="AD3" s="2"/>
      <c r="AE3" s="2"/>
      <c r="AF3" s="2"/>
    </row>
    <row r="4" spans="1:32" ht="75" x14ac:dyDescent="0.25">
      <c r="A4" s="2" t="s">
        <v>71</v>
      </c>
      <c r="B4" s="2" t="s">
        <v>5091</v>
      </c>
      <c r="C4" s="2" t="s">
        <v>759</v>
      </c>
      <c r="D4" s="2" t="s">
        <v>5092</v>
      </c>
      <c r="E4" s="2" t="s">
        <v>5093</v>
      </c>
      <c r="F4" s="2" t="s">
        <v>215</v>
      </c>
      <c r="G4" s="2" t="s">
        <v>5094</v>
      </c>
      <c r="H4" s="2" t="s">
        <v>215</v>
      </c>
      <c r="I4" s="2" t="s">
        <v>866</v>
      </c>
      <c r="J4" s="2" t="s">
        <v>5095</v>
      </c>
      <c r="K4" s="2" t="s">
        <v>5096</v>
      </c>
      <c r="L4" s="2" t="s">
        <v>781</v>
      </c>
      <c r="M4" s="2" t="s">
        <v>5097</v>
      </c>
      <c r="N4" s="2" t="s">
        <v>5098</v>
      </c>
      <c r="O4" s="2" t="s">
        <v>225</v>
      </c>
      <c r="P4" s="2" t="s">
        <v>5099</v>
      </c>
      <c r="Q4" s="2" t="s">
        <v>866</v>
      </c>
      <c r="R4" s="2" t="s">
        <v>5100</v>
      </c>
      <c r="S4" s="2" t="s">
        <v>866</v>
      </c>
      <c r="T4" s="2" t="s">
        <v>5101</v>
      </c>
      <c r="U4" s="2" t="s">
        <v>5102</v>
      </c>
      <c r="V4" s="2" t="s">
        <v>5103</v>
      </c>
      <c r="W4" s="2" t="s">
        <v>5104</v>
      </c>
      <c r="X4" s="2" t="s">
        <v>919</v>
      </c>
      <c r="Y4" s="2" t="s">
        <v>5090</v>
      </c>
      <c r="Z4" s="2"/>
      <c r="AA4" s="2"/>
      <c r="AB4" s="2"/>
      <c r="AC4" s="2"/>
      <c r="AD4" s="2"/>
      <c r="AE4" s="2"/>
      <c r="AF4" s="2"/>
    </row>
    <row r="5" spans="1:32" ht="75" x14ac:dyDescent="0.25">
      <c r="A5" s="2" t="s">
        <v>72</v>
      </c>
      <c r="B5" s="2" t="s">
        <v>5105</v>
      </c>
      <c r="C5" s="2" t="s">
        <v>760</v>
      </c>
      <c r="D5" s="2" t="s">
        <v>5106</v>
      </c>
      <c r="E5" s="2" t="s">
        <v>5107</v>
      </c>
      <c r="F5" s="2" t="s">
        <v>866</v>
      </c>
      <c r="G5" s="2" t="s">
        <v>866</v>
      </c>
      <c r="H5" s="2" t="s">
        <v>5108</v>
      </c>
      <c r="I5" s="2" t="s">
        <v>866</v>
      </c>
      <c r="J5" s="2" t="s">
        <v>866</v>
      </c>
      <c r="K5" s="2" t="s">
        <v>5109</v>
      </c>
      <c r="L5" s="2" t="s">
        <v>782</v>
      </c>
      <c r="M5" s="2" t="s">
        <v>5110</v>
      </c>
      <c r="N5" s="2" t="s">
        <v>5111</v>
      </c>
      <c r="O5" s="2" t="s">
        <v>225</v>
      </c>
      <c r="P5" s="2" t="s">
        <v>5112</v>
      </c>
      <c r="Q5" s="2" t="s">
        <v>866</v>
      </c>
      <c r="R5" s="2" t="s">
        <v>866</v>
      </c>
      <c r="S5" s="2" t="s">
        <v>5113</v>
      </c>
      <c r="T5" s="2" t="s">
        <v>5114</v>
      </c>
      <c r="U5" s="2" t="s">
        <v>5115</v>
      </c>
      <c r="V5" s="2" t="s">
        <v>3372</v>
      </c>
      <c r="W5" s="2" t="s">
        <v>5116</v>
      </c>
      <c r="X5" s="2" t="s">
        <v>919</v>
      </c>
      <c r="Y5" s="2" t="s">
        <v>5090</v>
      </c>
      <c r="Z5" s="2"/>
      <c r="AA5" s="2"/>
      <c r="AB5" s="2"/>
      <c r="AC5" s="2"/>
      <c r="AD5" s="2"/>
      <c r="AE5" s="2"/>
      <c r="AF5" s="2"/>
    </row>
    <row r="6" spans="1:32" ht="75" x14ac:dyDescent="0.25">
      <c r="A6" s="2" t="s">
        <v>73</v>
      </c>
      <c r="B6" s="2" t="s">
        <v>5117</v>
      </c>
      <c r="C6" s="2" t="s">
        <v>761</v>
      </c>
      <c r="D6" s="2" t="s">
        <v>5118</v>
      </c>
      <c r="E6" s="2" t="s">
        <v>5119</v>
      </c>
      <c r="F6" s="2" t="s">
        <v>215</v>
      </c>
      <c r="G6" s="2" t="s">
        <v>5120</v>
      </c>
      <c r="H6" s="2" t="s">
        <v>215</v>
      </c>
      <c r="I6" s="2" t="s">
        <v>866</v>
      </c>
      <c r="J6" s="2" t="s">
        <v>5121</v>
      </c>
      <c r="K6" s="2" t="s">
        <v>5122</v>
      </c>
      <c r="L6" s="2" t="s">
        <v>783</v>
      </c>
      <c r="M6" s="2" t="s">
        <v>5118</v>
      </c>
      <c r="N6" s="2" t="s">
        <v>5123</v>
      </c>
      <c r="O6" s="2" t="s">
        <v>225</v>
      </c>
      <c r="P6" s="2" t="s">
        <v>5124</v>
      </c>
      <c r="Q6" s="2" t="s">
        <v>5125</v>
      </c>
      <c r="R6" s="2" t="s">
        <v>5126</v>
      </c>
      <c r="S6" s="2" t="s">
        <v>866</v>
      </c>
      <c r="T6" s="2" t="s">
        <v>5127</v>
      </c>
      <c r="U6" s="2" t="s">
        <v>5128</v>
      </c>
      <c r="V6" s="2" t="s">
        <v>5129</v>
      </c>
      <c r="W6" s="2" t="s">
        <v>5130</v>
      </c>
      <c r="X6" s="2" t="s">
        <v>919</v>
      </c>
      <c r="Y6" s="2" t="s">
        <v>5090</v>
      </c>
      <c r="Z6" s="2"/>
      <c r="AA6" s="2"/>
      <c r="AB6" s="2"/>
      <c r="AC6" s="2"/>
      <c r="AD6" s="2"/>
      <c r="AE6" s="2"/>
      <c r="AF6" s="2"/>
    </row>
    <row r="7" spans="1:32" ht="60" x14ac:dyDescent="0.25">
      <c r="A7" s="2" t="s">
        <v>74</v>
      </c>
      <c r="B7" s="2" t="s">
        <v>5131</v>
      </c>
      <c r="C7" s="2" t="s">
        <v>762</v>
      </c>
      <c r="D7" s="2" t="s">
        <v>5132</v>
      </c>
      <c r="E7" s="2" t="s">
        <v>866</v>
      </c>
      <c r="F7" s="2" t="s">
        <v>5133</v>
      </c>
      <c r="G7" s="2" t="s">
        <v>866</v>
      </c>
      <c r="H7" s="2" t="s">
        <v>215</v>
      </c>
      <c r="I7" s="2" t="s">
        <v>866</v>
      </c>
      <c r="J7" s="2" t="s">
        <v>5134</v>
      </c>
      <c r="K7" s="2" t="s">
        <v>5135</v>
      </c>
      <c r="L7" s="2" t="s">
        <v>784</v>
      </c>
      <c r="M7" s="2" t="s">
        <v>5132</v>
      </c>
      <c r="N7" s="2" t="s">
        <v>5136</v>
      </c>
      <c r="O7" s="2" t="s">
        <v>225</v>
      </c>
      <c r="P7" s="2" t="s">
        <v>866</v>
      </c>
      <c r="Q7" s="2" t="s">
        <v>5137</v>
      </c>
      <c r="R7" s="2" t="s">
        <v>5138</v>
      </c>
      <c r="S7" s="2" t="s">
        <v>5139</v>
      </c>
      <c r="T7" s="2" t="s">
        <v>866</v>
      </c>
      <c r="U7" s="2" t="s">
        <v>5140</v>
      </c>
      <c r="V7" s="2" t="s">
        <v>2435</v>
      </c>
      <c r="W7" s="2" t="s">
        <v>5141</v>
      </c>
      <c r="X7" s="2" t="s">
        <v>919</v>
      </c>
      <c r="Y7" s="2" t="s">
        <v>5090</v>
      </c>
      <c r="Z7" s="2"/>
      <c r="AA7" s="2"/>
      <c r="AB7" s="2"/>
      <c r="AC7" s="2"/>
      <c r="AD7" s="2"/>
      <c r="AE7" s="2"/>
      <c r="AF7" s="2"/>
    </row>
    <row r="8" spans="1:32" ht="75" x14ac:dyDescent="0.25">
      <c r="A8" s="2" t="s">
        <v>75</v>
      </c>
      <c r="B8" s="2" t="s">
        <v>5142</v>
      </c>
      <c r="C8" s="2" t="s">
        <v>763</v>
      </c>
      <c r="D8" s="2" t="s">
        <v>5143</v>
      </c>
      <c r="E8" s="2" t="s">
        <v>866</v>
      </c>
      <c r="F8" s="2" t="s">
        <v>5144</v>
      </c>
      <c r="G8" s="2" t="s">
        <v>5145</v>
      </c>
      <c r="H8" s="2" t="s">
        <v>5146</v>
      </c>
      <c r="I8" s="2" t="s">
        <v>866</v>
      </c>
      <c r="J8" s="2" t="s">
        <v>5147</v>
      </c>
      <c r="K8" s="2" t="s">
        <v>5148</v>
      </c>
      <c r="L8" s="2" t="s">
        <v>785</v>
      </c>
      <c r="M8" s="2" t="s">
        <v>5149</v>
      </c>
      <c r="N8" s="2" t="s">
        <v>5150</v>
      </c>
      <c r="O8" s="2" t="s">
        <v>866</v>
      </c>
      <c r="P8" s="2" t="s">
        <v>4208</v>
      </c>
      <c r="Q8" s="2" t="s">
        <v>5151</v>
      </c>
      <c r="R8" s="2" t="s">
        <v>5152</v>
      </c>
      <c r="S8" s="2" t="s">
        <v>5153</v>
      </c>
      <c r="T8" s="2" t="s">
        <v>5154</v>
      </c>
      <c r="U8" s="2" t="s">
        <v>5155</v>
      </c>
      <c r="V8" s="2" t="s">
        <v>5156</v>
      </c>
      <c r="W8" s="2" t="s">
        <v>5157</v>
      </c>
      <c r="X8" s="2" t="s">
        <v>919</v>
      </c>
      <c r="Y8" s="2" t="s">
        <v>5090</v>
      </c>
      <c r="Z8" s="2"/>
      <c r="AA8" s="2"/>
      <c r="AB8" s="2"/>
      <c r="AC8" s="2"/>
      <c r="AD8" s="2"/>
      <c r="AE8" s="2"/>
      <c r="AF8" s="2"/>
    </row>
    <row r="9" spans="1:32" ht="60" x14ac:dyDescent="0.25">
      <c r="A9" s="2" t="s">
        <v>76</v>
      </c>
      <c r="B9" s="2" t="s">
        <v>5158</v>
      </c>
      <c r="C9" s="2" t="s">
        <v>764</v>
      </c>
      <c r="D9" s="2" t="s">
        <v>5159</v>
      </c>
      <c r="E9" s="2" t="s">
        <v>866</v>
      </c>
      <c r="F9" s="2" t="s">
        <v>866</v>
      </c>
      <c r="G9" s="2" t="s">
        <v>866</v>
      </c>
      <c r="H9" s="2" t="s">
        <v>866</v>
      </c>
      <c r="I9" s="2" t="s">
        <v>866</v>
      </c>
      <c r="J9" s="2" t="s">
        <v>866</v>
      </c>
      <c r="K9" s="2" t="s">
        <v>866</v>
      </c>
      <c r="L9" s="2" t="s">
        <v>866</v>
      </c>
      <c r="M9" s="2" t="s">
        <v>5160</v>
      </c>
      <c r="N9" s="2" t="s">
        <v>866</v>
      </c>
      <c r="O9" s="2" t="s">
        <v>866</v>
      </c>
      <c r="P9" s="2" t="s">
        <v>866</v>
      </c>
      <c r="Q9" s="2" t="s">
        <v>866</v>
      </c>
      <c r="R9" s="2" t="s">
        <v>866</v>
      </c>
      <c r="S9" s="2" t="s">
        <v>866</v>
      </c>
      <c r="T9" s="2" t="s">
        <v>866</v>
      </c>
      <c r="U9" s="2" t="s">
        <v>866</v>
      </c>
      <c r="V9" s="2" t="s">
        <v>5161</v>
      </c>
      <c r="W9" s="2" t="s">
        <v>5162</v>
      </c>
      <c r="X9" s="2" t="s">
        <v>919</v>
      </c>
      <c r="Y9" s="2" t="s">
        <v>5090</v>
      </c>
      <c r="Z9" s="2"/>
      <c r="AA9" s="2"/>
      <c r="AB9" s="2"/>
      <c r="AC9" s="2"/>
      <c r="AD9" s="2"/>
      <c r="AE9" s="2"/>
      <c r="AF9" s="2"/>
    </row>
    <row r="10" spans="1:32" ht="60" x14ac:dyDescent="0.25">
      <c r="A10" s="2" t="s">
        <v>77</v>
      </c>
      <c r="B10" s="2" t="s">
        <v>5163</v>
      </c>
      <c r="C10" s="2" t="s">
        <v>765</v>
      </c>
      <c r="D10" s="2" t="s">
        <v>5159</v>
      </c>
      <c r="E10" s="2" t="s">
        <v>866</v>
      </c>
      <c r="F10" s="2" t="s">
        <v>866</v>
      </c>
      <c r="G10" s="2" t="s">
        <v>866</v>
      </c>
      <c r="H10" s="2" t="s">
        <v>866</v>
      </c>
      <c r="I10" s="2" t="s">
        <v>866</v>
      </c>
      <c r="J10" s="2" t="s">
        <v>866</v>
      </c>
      <c r="K10" s="2" t="s">
        <v>866</v>
      </c>
      <c r="L10" s="2" t="s">
        <v>866</v>
      </c>
      <c r="M10" s="2" t="s">
        <v>5160</v>
      </c>
      <c r="N10" s="2" t="s">
        <v>866</v>
      </c>
      <c r="O10" s="2" t="s">
        <v>866</v>
      </c>
      <c r="P10" s="2" t="s">
        <v>866</v>
      </c>
      <c r="Q10" s="2" t="s">
        <v>866</v>
      </c>
      <c r="R10" s="2" t="s">
        <v>866</v>
      </c>
      <c r="S10" s="2" t="s">
        <v>866</v>
      </c>
      <c r="T10" s="2" t="s">
        <v>866</v>
      </c>
      <c r="U10" s="2" t="s">
        <v>866</v>
      </c>
      <c r="V10" s="2" t="s">
        <v>5161</v>
      </c>
      <c r="W10" s="2" t="s">
        <v>5164</v>
      </c>
      <c r="X10" s="2" t="s">
        <v>919</v>
      </c>
      <c r="Y10" s="2" t="s">
        <v>5090</v>
      </c>
      <c r="Z10" s="2"/>
      <c r="AA10" s="2"/>
      <c r="AB10" s="2"/>
      <c r="AC10" s="2"/>
      <c r="AD10" s="2"/>
      <c r="AE10" s="2"/>
      <c r="AF10" s="2"/>
    </row>
    <row r="11" spans="1:32" ht="75" x14ac:dyDescent="0.25">
      <c r="A11" s="2" t="s">
        <v>78</v>
      </c>
      <c r="B11" s="2" t="s">
        <v>5165</v>
      </c>
      <c r="C11" s="2" t="s">
        <v>766</v>
      </c>
      <c r="D11" s="2" t="s">
        <v>5166</v>
      </c>
      <c r="E11" s="2" t="s">
        <v>866</v>
      </c>
      <c r="F11" s="2" t="s">
        <v>866</v>
      </c>
      <c r="G11" s="2" t="s">
        <v>866</v>
      </c>
      <c r="H11" s="2" t="s">
        <v>866</v>
      </c>
      <c r="I11" s="2" t="s">
        <v>866</v>
      </c>
      <c r="J11" s="2" t="s">
        <v>5167</v>
      </c>
      <c r="K11" s="2" t="s">
        <v>5168</v>
      </c>
      <c r="L11" s="2" t="s">
        <v>786</v>
      </c>
      <c r="M11" s="2" t="s">
        <v>5166</v>
      </c>
      <c r="N11" s="2" t="s">
        <v>5169</v>
      </c>
      <c r="O11" s="2" t="s">
        <v>866</v>
      </c>
      <c r="P11" s="2" t="s">
        <v>866</v>
      </c>
      <c r="Q11" s="2" t="s">
        <v>866</v>
      </c>
      <c r="R11" s="2" t="s">
        <v>5170</v>
      </c>
      <c r="S11" s="2" t="s">
        <v>866</v>
      </c>
      <c r="T11" s="2" t="s">
        <v>866</v>
      </c>
      <c r="U11" s="2" t="s">
        <v>866</v>
      </c>
      <c r="V11" s="2" t="s">
        <v>5171</v>
      </c>
      <c r="W11" s="2" t="s">
        <v>5172</v>
      </c>
      <c r="X11" s="2" t="s">
        <v>919</v>
      </c>
      <c r="Y11" s="2" t="s">
        <v>5090</v>
      </c>
      <c r="Z11" s="2"/>
      <c r="AA11" s="2"/>
      <c r="AB11" s="2"/>
      <c r="AC11" s="2"/>
      <c r="AD11" s="2"/>
      <c r="AE11" s="2"/>
      <c r="AF11" s="2"/>
    </row>
    <row r="12" spans="1:32" ht="75" x14ac:dyDescent="0.25">
      <c r="A12" s="2" t="s">
        <v>79</v>
      </c>
      <c r="B12" s="2" t="s">
        <v>5173</v>
      </c>
      <c r="C12" s="2" t="s">
        <v>767</v>
      </c>
      <c r="D12" s="2" t="s">
        <v>5174</v>
      </c>
      <c r="E12" s="2" t="s">
        <v>5175</v>
      </c>
      <c r="F12" s="2" t="s">
        <v>215</v>
      </c>
      <c r="G12" s="2" t="s">
        <v>866</v>
      </c>
      <c r="H12" s="2" t="s">
        <v>215</v>
      </c>
      <c r="I12" s="2" t="s">
        <v>866</v>
      </c>
      <c r="J12" s="2" t="s">
        <v>5176</v>
      </c>
      <c r="K12" s="2" t="s">
        <v>5177</v>
      </c>
      <c r="L12" s="2" t="s">
        <v>787</v>
      </c>
      <c r="M12" s="2" t="s">
        <v>5178</v>
      </c>
      <c r="N12" s="2" t="s">
        <v>5179</v>
      </c>
      <c r="O12" s="2" t="s">
        <v>225</v>
      </c>
      <c r="P12" s="2" t="s">
        <v>5180</v>
      </c>
      <c r="Q12" s="2" t="s">
        <v>866</v>
      </c>
      <c r="R12" s="2" t="s">
        <v>5181</v>
      </c>
      <c r="S12" s="2" t="s">
        <v>866</v>
      </c>
      <c r="T12" s="2" t="s">
        <v>5182</v>
      </c>
      <c r="U12" s="2" t="s">
        <v>866</v>
      </c>
      <c r="V12" s="2" t="s">
        <v>5183</v>
      </c>
      <c r="W12" s="2" t="s">
        <v>5184</v>
      </c>
      <c r="X12" s="2" t="s">
        <v>919</v>
      </c>
      <c r="Y12" s="2" t="s">
        <v>5090</v>
      </c>
      <c r="Z12" s="2"/>
      <c r="AA12" s="2"/>
      <c r="AB12" s="2"/>
      <c r="AC12" s="2"/>
      <c r="AD12" s="2"/>
      <c r="AE12" s="2"/>
      <c r="AF12" s="2"/>
    </row>
    <row r="13" spans="1:32" ht="90" x14ac:dyDescent="0.25">
      <c r="A13" s="2" t="s">
        <v>80</v>
      </c>
      <c r="B13" s="2" t="s">
        <v>5185</v>
      </c>
      <c r="C13" s="2" t="s">
        <v>768</v>
      </c>
      <c r="D13" s="2" t="s">
        <v>5186</v>
      </c>
      <c r="E13" s="2" t="s">
        <v>866</v>
      </c>
      <c r="F13" s="2" t="s">
        <v>5187</v>
      </c>
      <c r="G13" s="2" t="s">
        <v>866</v>
      </c>
      <c r="H13" s="2" t="s">
        <v>5188</v>
      </c>
      <c r="I13" s="2" t="s">
        <v>866</v>
      </c>
      <c r="J13" s="2" t="s">
        <v>866</v>
      </c>
      <c r="K13" s="2" t="s">
        <v>5189</v>
      </c>
      <c r="L13" s="2" t="s">
        <v>788</v>
      </c>
      <c r="M13" s="2" t="s">
        <v>5190</v>
      </c>
      <c r="N13" s="2" t="s">
        <v>5191</v>
      </c>
      <c r="O13" s="2" t="s">
        <v>866</v>
      </c>
      <c r="P13" s="2" t="s">
        <v>5192</v>
      </c>
      <c r="Q13" s="2" t="s">
        <v>5193</v>
      </c>
      <c r="R13" s="2" t="s">
        <v>5194</v>
      </c>
      <c r="S13" s="2" t="s">
        <v>866</v>
      </c>
      <c r="T13" s="2" t="s">
        <v>866</v>
      </c>
      <c r="U13" s="2" t="s">
        <v>5195</v>
      </c>
      <c r="V13" s="2" t="s">
        <v>5196</v>
      </c>
      <c r="W13" s="2" t="s">
        <v>5197</v>
      </c>
      <c r="X13" s="2" t="s">
        <v>919</v>
      </c>
      <c r="Y13" s="2" t="s">
        <v>5090</v>
      </c>
      <c r="Z13" s="2"/>
      <c r="AA13" s="2"/>
      <c r="AB13" s="2"/>
      <c r="AC13" s="2"/>
      <c r="AD13" s="2"/>
      <c r="AE13" s="2"/>
      <c r="AF13" s="2"/>
    </row>
    <row r="14" spans="1:32" ht="75" x14ac:dyDescent="0.25">
      <c r="A14" s="2" t="s">
        <v>81</v>
      </c>
      <c r="B14" s="2" t="s">
        <v>5198</v>
      </c>
      <c r="C14" s="2" t="s">
        <v>769</v>
      </c>
      <c r="D14" s="2" t="s">
        <v>5199</v>
      </c>
      <c r="E14" s="2" t="s">
        <v>866</v>
      </c>
      <c r="F14" s="2" t="s">
        <v>866</v>
      </c>
      <c r="G14" s="2" t="s">
        <v>866</v>
      </c>
      <c r="H14" s="2" t="s">
        <v>866</v>
      </c>
      <c r="I14" s="2" t="s">
        <v>866</v>
      </c>
      <c r="J14" s="2" t="s">
        <v>866</v>
      </c>
      <c r="K14" s="2" t="s">
        <v>5200</v>
      </c>
      <c r="L14" s="2" t="s">
        <v>789</v>
      </c>
      <c r="M14" s="2" t="s">
        <v>5201</v>
      </c>
      <c r="N14" s="2" t="s">
        <v>5202</v>
      </c>
      <c r="O14" s="2" t="s">
        <v>866</v>
      </c>
      <c r="P14" s="2" t="s">
        <v>5203</v>
      </c>
      <c r="Q14" s="2" t="s">
        <v>5204</v>
      </c>
      <c r="R14" s="2" t="s">
        <v>5205</v>
      </c>
      <c r="S14" s="2" t="s">
        <v>866</v>
      </c>
      <c r="T14" s="2" t="s">
        <v>866</v>
      </c>
      <c r="U14" s="2" t="s">
        <v>866</v>
      </c>
      <c r="V14" s="2" t="s">
        <v>5206</v>
      </c>
      <c r="W14" s="2" t="s">
        <v>5207</v>
      </c>
      <c r="X14" s="2" t="s">
        <v>919</v>
      </c>
      <c r="Y14" s="2" t="s">
        <v>5090</v>
      </c>
      <c r="Z14" s="2"/>
      <c r="AA14" s="2"/>
      <c r="AB14" s="2"/>
      <c r="AC14" s="2"/>
      <c r="AD14" s="2"/>
      <c r="AE14" s="2"/>
      <c r="AF14" s="2"/>
    </row>
    <row r="15" spans="1:32" ht="75" x14ac:dyDescent="0.25">
      <c r="A15" s="2" t="s">
        <v>82</v>
      </c>
      <c r="B15" s="2" t="s">
        <v>5208</v>
      </c>
      <c r="C15" s="2" t="s">
        <v>770</v>
      </c>
      <c r="D15" s="2" t="s">
        <v>5209</v>
      </c>
      <c r="E15" s="2" t="s">
        <v>5210</v>
      </c>
      <c r="F15" s="2" t="s">
        <v>215</v>
      </c>
      <c r="G15" s="2" t="s">
        <v>866</v>
      </c>
      <c r="H15" s="2" t="s">
        <v>215</v>
      </c>
      <c r="I15" s="2" t="s">
        <v>866</v>
      </c>
      <c r="J15" s="2" t="s">
        <v>866</v>
      </c>
      <c r="K15" s="2" t="s">
        <v>5211</v>
      </c>
      <c r="L15" s="2" t="s">
        <v>790</v>
      </c>
      <c r="M15" s="2" t="s">
        <v>5212</v>
      </c>
      <c r="N15" s="2" t="s">
        <v>5213</v>
      </c>
      <c r="O15" s="2" t="s">
        <v>225</v>
      </c>
      <c r="P15" s="2" t="s">
        <v>5214</v>
      </c>
      <c r="Q15" s="2" t="s">
        <v>866</v>
      </c>
      <c r="R15" s="2" t="s">
        <v>5215</v>
      </c>
      <c r="S15" s="2" t="s">
        <v>866</v>
      </c>
      <c r="T15" s="2" t="s">
        <v>866</v>
      </c>
      <c r="U15" s="2" t="s">
        <v>5216</v>
      </c>
      <c r="V15" s="2" t="s">
        <v>5217</v>
      </c>
      <c r="W15" s="2" t="s">
        <v>5218</v>
      </c>
      <c r="X15" s="2" t="s">
        <v>919</v>
      </c>
      <c r="Y15" s="2" t="s">
        <v>5090</v>
      </c>
      <c r="Z15" s="2"/>
      <c r="AA15" s="2"/>
      <c r="AB15" s="2"/>
      <c r="AC15" s="2"/>
      <c r="AD15" s="2"/>
      <c r="AE15" s="2"/>
      <c r="AF15" s="2"/>
    </row>
    <row r="16" spans="1:32" ht="60" x14ac:dyDescent="0.25">
      <c r="A16" s="2" t="s">
        <v>83</v>
      </c>
      <c r="B16" s="2" t="s">
        <v>5219</v>
      </c>
      <c r="C16" s="2" t="s">
        <v>771</v>
      </c>
      <c r="D16" s="2" t="s">
        <v>5159</v>
      </c>
      <c r="E16" s="2" t="s">
        <v>866</v>
      </c>
      <c r="F16" s="2" t="s">
        <v>866</v>
      </c>
      <c r="G16" s="2" t="s">
        <v>866</v>
      </c>
      <c r="H16" s="2" t="s">
        <v>866</v>
      </c>
      <c r="I16" s="2" t="s">
        <v>866</v>
      </c>
      <c r="J16" s="2" t="s">
        <v>866</v>
      </c>
      <c r="K16" s="2" t="s">
        <v>866</v>
      </c>
      <c r="L16" s="2" t="s">
        <v>771</v>
      </c>
      <c r="M16" s="2" t="s">
        <v>5160</v>
      </c>
      <c r="N16" s="2" t="s">
        <v>866</v>
      </c>
      <c r="O16" s="2" t="s">
        <v>866</v>
      </c>
      <c r="P16" s="2" t="s">
        <v>866</v>
      </c>
      <c r="Q16" s="2" t="s">
        <v>866</v>
      </c>
      <c r="R16" s="2" t="s">
        <v>866</v>
      </c>
      <c r="S16" s="2" t="s">
        <v>866</v>
      </c>
      <c r="T16" s="2" t="s">
        <v>866</v>
      </c>
      <c r="U16" s="2" t="s">
        <v>866</v>
      </c>
      <c r="V16" s="2" t="s">
        <v>5161</v>
      </c>
      <c r="W16" s="2" t="s">
        <v>5220</v>
      </c>
      <c r="X16" s="2" t="s">
        <v>919</v>
      </c>
      <c r="Y16" s="2" t="s">
        <v>5090</v>
      </c>
      <c r="Z16" s="2"/>
      <c r="AA16" s="2"/>
      <c r="AB16" s="2"/>
      <c r="AC16" s="2"/>
      <c r="AD16" s="2"/>
      <c r="AE16" s="2"/>
      <c r="AF16" s="2"/>
    </row>
    <row r="17" spans="1:32" ht="60" x14ac:dyDescent="0.25">
      <c r="A17" s="2" t="s">
        <v>84</v>
      </c>
      <c r="B17" s="2" t="s">
        <v>5221</v>
      </c>
      <c r="C17" s="2" t="s">
        <v>772</v>
      </c>
      <c r="D17" s="2" t="s">
        <v>5222</v>
      </c>
      <c r="E17" s="2" t="s">
        <v>5223</v>
      </c>
      <c r="F17" s="2" t="s">
        <v>215</v>
      </c>
      <c r="G17" s="2" t="s">
        <v>866</v>
      </c>
      <c r="H17" s="2" t="s">
        <v>215</v>
      </c>
      <c r="I17" s="2" t="s">
        <v>866</v>
      </c>
      <c r="J17" s="2" t="s">
        <v>866</v>
      </c>
      <c r="K17" s="2" t="s">
        <v>866</v>
      </c>
      <c r="L17" s="2" t="s">
        <v>791</v>
      </c>
      <c r="M17" s="2" t="s">
        <v>5222</v>
      </c>
      <c r="N17" s="2" t="s">
        <v>5224</v>
      </c>
      <c r="O17" s="2" t="s">
        <v>866</v>
      </c>
      <c r="P17" s="2" t="s">
        <v>866</v>
      </c>
      <c r="Q17" s="2" t="s">
        <v>866</v>
      </c>
      <c r="R17" s="2" t="s">
        <v>5225</v>
      </c>
      <c r="S17" s="2" t="s">
        <v>866</v>
      </c>
      <c r="T17" s="2" t="s">
        <v>866</v>
      </c>
      <c r="U17" s="2" t="s">
        <v>866</v>
      </c>
      <c r="V17" s="2" t="s">
        <v>5226</v>
      </c>
      <c r="W17" s="2" t="s">
        <v>5227</v>
      </c>
      <c r="X17" s="2" t="s">
        <v>919</v>
      </c>
      <c r="Y17" s="2" t="s">
        <v>5090</v>
      </c>
      <c r="Z17" s="2"/>
      <c r="AA17" s="2"/>
      <c r="AB17" s="2"/>
      <c r="AC17" s="2"/>
      <c r="AD17" s="2"/>
      <c r="AE17" s="2"/>
      <c r="AF17" s="2"/>
    </row>
    <row r="18" spans="1:32" ht="75" x14ac:dyDescent="0.25">
      <c r="A18" s="2" t="s">
        <v>85</v>
      </c>
      <c r="B18" s="2" t="s">
        <v>5228</v>
      </c>
      <c r="C18" s="2" t="s">
        <v>773</v>
      </c>
      <c r="D18" s="2" t="s">
        <v>5222</v>
      </c>
      <c r="E18" s="2" t="s">
        <v>5229</v>
      </c>
      <c r="F18" s="2" t="s">
        <v>215</v>
      </c>
      <c r="G18" s="2" t="s">
        <v>5230</v>
      </c>
      <c r="H18" s="2" t="s">
        <v>215</v>
      </c>
      <c r="I18" s="2" t="s">
        <v>5231</v>
      </c>
      <c r="J18" s="2" t="s">
        <v>5232</v>
      </c>
      <c r="K18" s="2" t="s">
        <v>5233</v>
      </c>
      <c r="L18" s="2" t="s">
        <v>792</v>
      </c>
      <c r="M18" s="2" t="s">
        <v>5234</v>
      </c>
      <c r="N18" s="2" t="s">
        <v>5235</v>
      </c>
      <c r="O18" s="2" t="s">
        <v>225</v>
      </c>
      <c r="P18" s="2" t="s">
        <v>5236</v>
      </c>
      <c r="Q18" s="2" t="s">
        <v>866</v>
      </c>
      <c r="R18" s="2" t="s">
        <v>5237</v>
      </c>
      <c r="S18" s="2" t="s">
        <v>5238</v>
      </c>
      <c r="T18" s="2" t="s">
        <v>5239</v>
      </c>
      <c r="U18" s="2" t="s">
        <v>866</v>
      </c>
      <c r="V18" s="2" t="s">
        <v>5240</v>
      </c>
      <c r="W18" s="2" t="s">
        <v>5241</v>
      </c>
      <c r="X18" s="2" t="s">
        <v>919</v>
      </c>
      <c r="Y18" s="2" t="s">
        <v>5090</v>
      </c>
      <c r="Z18" s="2"/>
      <c r="AA18" s="2"/>
      <c r="AB18" s="2"/>
      <c r="AC18" s="2"/>
      <c r="AD18" s="2"/>
      <c r="AE18" s="2"/>
      <c r="AF18" s="2"/>
    </row>
    <row r="19" spans="1:32" ht="60" x14ac:dyDescent="0.25">
      <c r="A19" s="2" t="s">
        <v>86</v>
      </c>
      <c r="B19" s="2" t="s">
        <v>5242</v>
      </c>
      <c r="C19" s="2" t="s">
        <v>866</v>
      </c>
      <c r="D19" s="2" t="s">
        <v>5159</v>
      </c>
      <c r="E19" s="2" t="s">
        <v>866</v>
      </c>
      <c r="F19" s="2" t="s">
        <v>866</v>
      </c>
      <c r="G19" s="2" t="s">
        <v>866</v>
      </c>
      <c r="H19" s="2" t="s">
        <v>866</v>
      </c>
      <c r="I19" s="2" t="s">
        <v>866</v>
      </c>
      <c r="J19" s="2" t="s">
        <v>866</v>
      </c>
      <c r="K19" s="2" t="s">
        <v>866</v>
      </c>
      <c r="L19" s="2" t="s">
        <v>866</v>
      </c>
      <c r="M19" s="2" t="s">
        <v>5160</v>
      </c>
      <c r="N19" s="2" t="s">
        <v>866</v>
      </c>
      <c r="O19" s="2" t="s">
        <v>866</v>
      </c>
      <c r="P19" s="2" t="s">
        <v>866</v>
      </c>
      <c r="Q19" s="2" t="s">
        <v>866</v>
      </c>
      <c r="R19" s="2" t="s">
        <v>866</v>
      </c>
      <c r="S19" s="2" t="s">
        <v>866</v>
      </c>
      <c r="T19" s="2" t="s">
        <v>866</v>
      </c>
      <c r="U19" s="2" t="s">
        <v>866</v>
      </c>
      <c r="V19" s="2" t="s">
        <v>5161</v>
      </c>
      <c r="W19" s="2" t="s">
        <v>5243</v>
      </c>
      <c r="X19" s="2" t="s">
        <v>919</v>
      </c>
      <c r="Y19" s="2" t="s">
        <v>5244</v>
      </c>
      <c r="Z19" s="2"/>
      <c r="AA19" s="2"/>
      <c r="AB19" s="2"/>
      <c r="AC19" s="2"/>
      <c r="AD19" s="2"/>
      <c r="AE19" s="2"/>
      <c r="AF19" s="2"/>
    </row>
    <row r="20" spans="1:32" ht="60" x14ac:dyDescent="0.25">
      <c r="A20" s="2" t="s">
        <v>87</v>
      </c>
      <c r="B20" s="2" t="s">
        <v>5245</v>
      </c>
      <c r="C20" s="2" t="s">
        <v>774</v>
      </c>
      <c r="D20" s="2" t="s">
        <v>5159</v>
      </c>
      <c r="E20" s="2" t="s">
        <v>866</v>
      </c>
      <c r="F20" s="2" t="s">
        <v>866</v>
      </c>
      <c r="G20" s="2" t="s">
        <v>866</v>
      </c>
      <c r="H20" s="2" t="s">
        <v>866</v>
      </c>
      <c r="I20" s="2" t="s">
        <v>866</v>
      </c>
      <c r="J20" s="2" t="s">
        <v>866</v>
      </c>
      <c r="K20" s="2" t="s">
        <v>866</v>
      </c>
      <c r="L20" s="2" t="s">
        <v>774</v>
      </c>
      <c r="M20" s="2" t="s">
        <v>5160</v>
      </c>
      <c r="N20" s="2" t="s">
        <v>866</v>
      </c>
      <c r="O20" s="2" t="s">
        <v>866</v>
      </c>
      <c r="P20" s="2" t="s">
        <v>866</v>
      </c>
      <c r="Q20" s="2" t="s">
        <v>866</v>
      </c>
      <c r="R20" s="2" t="s">
        <v>866</v>
      </c>
      <c r="S20" s="2" t="s">
        <v>866</v>
      </c>
      <c r="T20" s="2" t="s">
        <v>866</v>
      </c>
      <c r="U20" s="2" t="s">
        <v>866</v>
      </c>
      <c r="V20" s="2" t="s">
        <v>5161</v>
      </c>
      <c r="W20" s="2" t="s">
        <v>5246</v>
      </c>
      <c r="X20" s="2" t="s">
        <v>919</v>
      </c>
      <c r="Y20" s="2" t="s">
        <v>5090</v>
      </c>
      <c r="Z20" s="2"/>
      <c r="AA20" s="2"/>
      <c r="AB20" s="2"/>
      <c r="AC20" s="2"/>
      <c r="AD20" s="2"/>
      <c r="AE20" s="2"/>
      <c r="AF20" s="2"/>
    </row>
    <row r="21" spans="1:32" ht="60" x14ac:dyDescent="0.25">
      <c r="A21" s="2" t="s">
        <v>88</v>
      </c>
      <c r="B21" s="2" t="s">
        <v>5247</v>
      </c>
      <c r="C21" s="2" t="s">
        <v>775</v>
      </c>
      <c r="D21" s="2" t="s">
        <v>5248</v>
      </c>
      <c r="E21" s="2" t="s">
        <v>866</v>
      </c>
      <c r="F21" s="2" t="s">
        <v>215</v>
      </c>
      <c r="G21" s="2" t="s">
        <v>866</v>
      </c>
      <c r="H21" s="2" t="s">
        <v>215</v>
      </c>
      <c r="I21" s="2" t="s">
        <v>866</v>
      </c>
      <c r="J21" s="2" t="s">
        <v>866</v>
      </c>
      <c r="K21" s="2" t="s">
        <v>5249</v>
      </c>
      <c r="L21" s="2" t="s">
        <v>793</v>
      </c>
      <c r="M21" s="2" t="s">
        <v>5250</v>
      </c>
      <c r="N21" s="2" t="s">
        <v>866</v>
      </c>
      <c r="O21" s="2" t="s">
        <v>5251</v>
      </c>
      <c r="P21" s="2" t="s">
        <v>4314</v>
      </c>
      <c r="Q21" s="2" t="s">
        <v>866</v>
      </c>
      <c r="R21" s="2" t="s">
        <v>5252</v>
      </c>
      <c r="S21" s="2" t="s">
        <v>866</v>
      </c>
      <c r="T21" s="2" t="s">
        <v>866</v>
      </c>
      <c r="U21" s="2" t="s">
        <v>866</v>
      </c>
      <c r="V21" s="2" t="s">
        <v>5226</v>
      </c>
      <c r="W21" s="2" t="s">
        <v>5253</v>
      </c>
      <c r="X21" s="2" t="s">
        <v>919</v>
      </c>
      <c r="Y21" s="2" t="s">
        <v>5090</v>
      </c>
      <c r="Z21" s="2"/>
      <c r="AA21" s="2"/>
      <c r="AB21" s="2"/>
      <c r="AC21" s="2"/>
      <c r="AD21" s="2"/>
      <c r="AE21" s="2"/>
      <c r="AF21" s="2"/>
    </row>
    <row r="22" spans="1:32" ht="75" x14ac:dyDescent="0.25">
      <c r="A22" s="2" t="s">
        <v>89</v>
      </c>
      <c r="B22" s="2" t="s">
        <v>5254</v>
      </c>
      <c r="C22" s="2" t="s">
        <v>866</v>
      </c>
      <c r="D22" s="2" t="s">
        <v>5255</v>
      </c>
      <c r="E22" s="2" t="s">
        <v>866</v>
      </c>
      <c r="F22" s="2" t="s">
        <v>5256</v>
      </c>
      <c r="G22" s="2" t="s">
        <v>866</v>
      </c>
      <c r="H22" s="2" t="s">
        <v>866</v>
      </c>
      <c r="I22" s="2" t="s">
        <v>866</v>
      </c>
      <c r="J22" s="2" t="s">
        <v>866</v>
      </c>
      <c r="K22" s="2" t="s">
        <v>5257</v>
      </c>
      <c r="L22" s="2" t="s">
        <v>794</v>
      </c>
      <c r="M22" s="2" t="s">
        <v>5258</v>
      </c>
      <c r="N22" s="2" t="s">
        <v>5259</v>
      </c>
      <c r="O22" s="2" t="s">
        <v>225</v>
      </c>
      <c r="P22" s="2" t="s">
        <v>5260</v>
      </c>
      <c r="Q22" s="2" t="s">
        <v>5261</v>
      </c>
      <c r="R22" s="2" t="s">
        <v>5262</v>
      </c>
      <c r="S22" s="2" t="s">
        <v>866</v>
      </c>
      <c r="T22" s="2" t="s">
        <v>866</v>
      </c>
      <c r="U22" s="2" t="s">
        <v>5263</v>
      </c>
      <c r="V22" s="2" t="s">
        <v>5264</v>
      </c>
      <c r="W22" s="2" t="s">
        <v>5265</v>
      </c>
      <c r="X22" s="2" t="s">
        <v>919</v>
      </c>
      <c r="Y22" s="2" t="s">
        <v>5090</v>
      </c>
      <c r="Z22" s="2"/>
      <c r="AA22" s="2"/>
      <c r="AB22" s="2"/>
      <c r="AC22" s="2"/>
      <c r="AD22" s="2"/>
      <c r="AE22" s="2"/>
      <c r="AF22" s="2"/>
    </row>
    <row r="23" spans="1:32" ht="60" x14ac:dyDescent="0.25">
      <c r="A23" s="2" t="s">
        <v>90</v>
      </c>
      <c r="B23" s="2" t="s">
        <v>5266</v>
      </c>
      <c r="C23" s="2" t="s">
        <v>866</v>
      </c>
      <c r="D23" s="2" t="s">
        <v>5159</v>
      </c>
      <c r="E23" s="2" t="s">
        <v>866</v>
      </c>
      <c r="F23" s="2" t="s">
        <v>866</v>
      </c>
      <c r="G23" s="2" t="s">
        <v>866</v>
      </c>
      <c r="H23" s="2" t="s">
        <v>866</v>
      </c>
      <c r="I23" s="2" t="s">
        <v>866</v>
      </c>
      <c r="J23" s="2" t="s">
        <v>866</v>
      </c>
      <c r="K23" s="2" t="s">
        <v>866</v>
      </c>
      <c r="L23" s="2" t="s">
        <v>866</v>
      </c>
      <c r="M23" s="2" t="s">
        <v>5160</v>
      </c>
      <c r="N23" s="2" t="s">
        <v>866</v>
      </c>
      <c r="O23" s="2" t="s">
        <v>866</v>
      </c>
      <c r="P23" s="2" t="s">
        <v>866</v>
      </c>
      <c r="Q23" s="2" t="s">
        <v>866</v>
      </c>
      <c r="R23" s="2" t="s">
        <v>866</v>
      </c>
      <c r="S23" s="2" t="s">
        <v>866</v>
      </c>
      <c r="T23" s="2" t="s">
        <v>866</v>
      </c>
      <c r="U23" s="2" t="s">
        <v>866</v>
      </c>
      <c r="V23" s="2" t="s">
        <v>5161</v>
      </c>
      <c r="W23" s="2" t="s">
        <v>5267</v>
      </c>
      <c r="X23" s="2" t="s">
        <v>919</v>
      </c>
      <c r="Y23" s="2" t="s">
        <v>5244</v>
      </c>
      <c r="Z23" s="2"/>
      <c r="AA23" s="2"/>
      <c r="AB23" s="2"/>
      <c r="AC23" s="2"/>
      <c r="AD23" s="2"/>
      <c r="AE23" s="2"/>
      <c r="AF23" s="2"/>
    </row>
    <row r="24" spans="1:32" ht="60" x14ac:dyDescent="0.25">
      <c r="A24" s="2" t="s">
        <v>91</v>
      </c>
      <c r="B24" s="2" t="s">
        <v>5268</v>
      </c>
      <c r="C24" s="2" t="s">
        <v>866</v>
      </c>
      <c r="D24" s="2" t="s">
        <v>5159</v>
      </c>
      <c r="E24" s="2" t="s">
        <v>866</v>
      </c>
      <c r="F24" s="2" t="s">
        <v>866</v>
      </c>
      <c r="G24" s="2" t="s">
        <v>866</v>
      </c>
      <c r="H24" s="2" t="s">
        <v>866</v>
      </c>
      <c r="I24" s="2" t="s">
        <v>866</v>
      </c>
      <c r="J24" s="2" t="s">
        <v>866</v>
      </c>
      <c r="K24" s="2" t="s">
        <v>866</v>
      </c>
      <c r="L24" s="2" t="s">
        <v>866</v>
      </c>
      <c r="M24" s="2" t="s">
        <v>5160</v>
      </c>
      <c r="N24" s="2" t="s">
        <v>866</v>
      </c>
      <c r="O24" s="2" t="s">
        <v>866</v>
      </c>
      <c r="P24" s="2" t="s">
        <v>866</v>
      </c>
      <c r="Q24" s="2" t="s">
        <v>866</v>
      </c>
      <c r="R24" s="2" t="s">
        <v>866</v>
      </c>
      <c r="S24" s="2" t="s">
        <v>866</v>
      </c>
      <c r="T24" s="2" t="s">
        <v>866</v>
      </c>
      <c r="U24" s="2" t="s">
        <v>866</v>
      </c>
      <c r="V24" s="2" t="s">
        <v>5161</v>
      </c>
      <c r="W24" s="2" t="s">
        <v>5269</v>
      </c>
      <c r="X24" s="2" t="s">
        <v>919</v>
      </c>
      <c r="Y24" s="2" t="s">
        <v>5244</v>
      </c>
      <c r="Z24" s="2"/>
      <c r="AA24" s="2"/>
      <c r="AB24" s="2"/>
      <c r="AC24" s="2"/>
      <c r="AD24" s="2"/>
      <c r="AE24" s="2"/>
      <c r="AF24" s="2"/>
    </row>
    <row r="25" spans="1:32" ht="60" x14ac:dyDescent="0.25">
      <c r="A25" s="2" t="s">
        <v>92</v>
      </c>
      <c r="B25" s="2" t="s">
        <v>5270</v>
      </c>
      <c r="C25" s="2" t="s">
        <v>776</v>
      </c>
      <c r="D25" s="2" t="s">
        <v>5159</v>
      </c>
      <c r="E25" s="2" t="s">
        <v>866</v>
      </c>
      <c r="F25" s="2" t="s">
        <v>866</v>
      </c>
      <c r="G25" s="2" t="s">
        <v>866</v>
      </c>
      <c r="H25" s="2" t="s">
        <v>866</v>
      </c>
      <c r="I25" s="2" t="s">
        <v>866</v>
      </c>
      <c r="J25" s="2" t="s">
        <v>866</v>
      </c>
      <c r="K25" s="2" t="s">
        <v>866</v>
      </c>
      <c r="L25" s="2" t="s">
        <v>776</v>
      </c>
      <c r="M25" s="2" t="s">
        <v>5160</v>
      </c>
      <c r="N25" s="2" t="s">
        <v>866</v>
      </c>
      <c r="O25" s="2" t="s">
        <v>866</v>
      </c>
      <c r="P25" s="2" t="s">
        <v>866</v>
      </c>
      <c r="Q25" s="2" t="s">
        <v>866</v>
      </c>
      <c r="R25" s="2" t="s">
        <v>866</v>
      </c>
      <c r="S25" s="2" t="s">
        <v>866</v>
      </c>
      <c r="T25" s="2" t="s">
        <v>866</v>
      </c>
      <c r="U25" s="2" t="s">
        <v>866</v>
      </c>
      <c r="V25" s="2" t="s">
        <v>5161</v>
      </c>
      <c r="W25" s="2" t="s">
        <v>5271</v>
      </c>
      <c r="X25" s="2" t="s">
        <v>919</v>
      </c>
      <c r="Y25" s="2" t="s">
        <v>5090</v>
      </c>
      <c r="Z25" s="2"/>
      <c r="AA25" s="2"/>
      <c r="AB25" s="2"/>
      <c r="AC25" s="2"/>
      <c r="AD25" s="2"/>
      <c r="AE25" s="2"/>
      <c r="AF25" s="2"/>
    </row>
    <row r="26" spans="1:32" ht="60" x14ac:dyDescent="0.25">
      <c r="A26" s="2" t="s">
        <v>93</v>
      </c>
      <c r="B26" s="2" t="s">
        <v>5272</v>
      </c>
      <c r="C26" s="2" t="s">
        <v>777</v>
      </c>
      <c r="D26" s="2" t="s">
        <v>5159</v>
      </c>
      <c r="E26" s="2" t="s">
        <v>866</v>
      </c>
      <c r="F26" s="2" t="s">
        <v>866</v>
      </c>
      <c r="G26" s="2" t="s">
        <v>866</v>
      </c>
      <c r="H26" s="2" t="s">
        <v>866</v>
      </c>
      <c r="I26" s="2" t="s">
        <v>866</v>
      </c>
      <c r="J26" s="2" t="s">
        <v>866</v>
      </c>
      <c r="K26" s="2" t="s">
        <v>866</v>
      </c>
      <c r="L26" s="2" t="s">
        <v>777</v>
      </c>
      <c r="M26" s="2" t="s">
        <v>5160</v>
      </c>
      <c r="N26" s="2" t="s">
        <v>866</v>
      </c>
      <c r="O26" s="2" t="s">
        <v>866</v>
      </c>
      <c r="P26" s="2" t="s">
        <v>866</v>
      </c>
      <c r="Q26" s="2" t="s">
        <v>866</v>
      </c>
      <c r="R26" s="2" t="s">
        <v>866</v>
      </c>
      <c r="S26" s="2" t="s">
        <v>866</v>
      </c>
      <c r="T26" s="2" t="s">
        <v>866</v>
      </c>
      <c r="U26" s="2" t="s">
        <v>866</v>
      </c>
      <c r="V26" s="2" t="s">
        <v>5161</v>
      </c>
      <c r="W26" s="2" t="s">
        <v>5273</v>
      </c>
      <c r="X26" s="2" t="s">
        <v>919</v>
      </c>
      <c r="Y26" s="2" t="s">
        <v>5090</v>
      </c>
      <c r="Z26" s="2"/>
      <c r="AA26" s="2"/>
      <c r="AB26" s="2"/>
      <c r="AC26" s="2"/>
      <c r="AD26" s="2"/>
      <c r="AE26" s="2"/>
      <c r="AF26" s="2"/>
    </row>
    <row r="27" spans="1:32" ht="60" x14ac:dyDescent="0.25">
      <c r="A27" s="2" t="s">
        <v>94</v>
      </c>
      <c r="B27" s="2" t="s">
        <v>5274</v>
      </c>
      <c r="C27" s="2" t="s">
        <v>866</v>
      </c>
      <c r="D27" s="2" t="s">
        <v>5159</v>
      </c>
      <c r="E27" s="2" t="s">
        <v>866</v>
      </c>
      <c r="F27" s="2" t="s">
        <v>866</v>
      </c>
      <c r="G27" s="2" t="s">
        <v>866</v>
      </c>
      <c r="H27" s="2" t="s">
        <v>866</v>
      </c>
      <c r="I27" s="2" t="s">
        <v>866</v>
      </c>
      <c r="J27" s="2" t="s">
        <v>866</v>
      </c>
      <c r="K27" s="2" t="s">
        <v>866</v>
      </c>
      <c r="L27" s="2" t="s">
        <v>866</v>
      </c>
      <c r="M27" s="2" t="s">
        <v>5160</v>
      </c>
      <c r="N27" s="2" t="s">
        <v>866</v>
      </c>
      <c r="O27" s="2" t="s">
        <v>866</v>
      </c>
      <c r="P27" s="2" t="s">
        <v>866</v>
      </c>
      <c r="Q27" s="2" t="s">
        <v>866</v>
      </c>
      <c r="R27" s="2" t="s">
        <v>866</v>
      </c>
      <c r="S27" s="2" t="s">
        <v>866</v>
      </c>
      <c r="T27" s="2" t="s">
        <v>866</v>
      </c>
      <c r="U27" s="2" t="s">
        <v>866</v>
      </c>
      <c r="V27" s="2" t="s">
        <v>5161</v>
      </c>
      <c r="W27" s="2" t="s">
        <v>5275</v>
      </c>
      <c r="X27" s="2" t="s">
        <v>919</v>
      </c>
      <c r="Y27" s="2" t="s">
        <v>5244</v>
      </c>
      <c r="Z27" s="2"/>
      <c r="AA27" s="2"/>
      <c r="AB27" s="2"/>
      <c r="AC27" s="2"/>
      <c r="AD27" s="2"/>
      <c r="AE27" s="2"/>
      <c r="AF27" s="2"/>
    </row>
    <row r="28" spans="1:32" ht="75" x14ac:dyDescent="0.25">
      <c r="A28" s="2" t="s">
        <v>95</v>
      </c>
      <c r="B28" s="2" t="s">
        <v>5276</v>
      </c>
      <c r="C28" s="2" t="s">
        <v>778</v>
      </c>
      <c r="D28" s="2" t="s">
        <v>5277</v>
      </c>
      <c r="E28" s="2" t="s">
        <v>5278</v>
      </c>
      <c r="F28" s="2" t="s">
        <v>215</v>
      </c>
      <c r="G28" s="2" t="s">
        <v>866</v>
      </c>
      <c r="H28" s="2" t="s">
        <v>215</v>
      </c>
      <c r="I28" s="2" t="s">
        <v>866</v>
      </c>
      <c r="J28" s="2" t="s">
        <v>866</v>
      </c>
      <c r="K28" s="2" t="s">
        <v>5279</v>
      </c>
      <c r="L28" s="2" t="s">
        <v>795</v>
      </c>
      <c r="M28" s="2" t="s">
        <v>5277</v>
      </c>
      <c r="N28" s="2" t="s">
        <v>5280</v>
      </c>
      <c r="O28" s="2" t="s">
        <v>225</v>
      </c>
      <c r="P28" s="2" t="s">
        <v>5281</v>
      </c>
      <c r="Q28" s="2" t="s">
        <v>5282</v>
      </c>
      <c r="R28" s="2" t="s">
        <v>5283</v>
      </c>
      <c r="S28" s="2" t="s">
        <v>5284</v>
      </c>
      <c r="T28" s="2" t="s">
        <v>5285</v>
      </c>
      <c r="U28" s="2" t="s">
        <v>5286</v>
      </c>
      <c r="V28" s="2" t="s">
        <v>2435</v>
      </c>
      <c r="W28" s="2" t="s">
        <v>5287</v>
      </c>
      <c r="X28" s="2" t="s">
        <v>919</v>
      </c>
      <c r="Y28" s="2" t="s">
        <v>5090</v>
      </c>
      <c r="Z28" s="2"/>
      <c r="AA28" s="2"/>
      <c r="AB28" s="2"/>
      <c r="AC28" s="2"/>
      <c r="AD28" s="2"/>
      <c r="AE28" s="2"/>
      <c r="AF28" s="2"/>
    </row>
    <row r="29" spans="1:32" ht="75" x14ac:dyDescent="0.25">
      <c r="A29" s="2" t="s">
        <v>96</v>
      </c>
      <c r="B29" s="2" t="s">
        <v>5288</v>
      </c>
      <c r="C29" s="2" t="s">
        <v>866</v>
      </c>
      <c r="D29" s="2" t="s">
        <v>5159</v>
      </c>
      <c r="E29" s="2" t="s">
        <v>866</v>
      </c>
      <c r="F29" s="2" t="s">
        <v>866</v>
      </c>
      <c r="G29" s="2" t="s">
        <v>866</v>
      </c>
      <c r="H29" s="2" t="s">
        <v>866</v>
      </c>
      <c r="I29" s="2" t="s">
        <v>866</v>
      </c>
      <c r="J29" s="2" t="s">
        <v>866</v>
      </c>
      <c r="K29" s="2" t="s">
        <v>866</v>
      </c>
      <c r="L29" s="2" t="s">
        <v>866</v>
      </c>
      <c r="M29" s="2" t="s">
        <v>5160</v>
      </c>
      <c r="N29" s="2" t="s">
        <v>866</v>
      </c>
      <c r="O29" s="2" t="s">
        <v>866</v>
      </c>
      <c r="P29" s="2" t="s">
        <v>866</v>
      </c>
      <c r="Q29" s="2" t="s">
        <v>866</v>
      </c>
      <c r="R29" s="2" t="s">
        <v>866</v>
      </c>
      <c r="S29" s="2" t="s">
        <v>866</v>
      </c>
      <c r="T29" s="2" t="s">
        <v>866</v>
      </c>
      <c r="U29" s="2" t="s">
        <v>866</v>
      </c>
      <c r="V29" s="2" t="s">
        <v>5161</v>
      </c>
      <c r="W29" s="2" t="s">
        <v>5289</v>
      </c>
      <c r="X29" s="2" t="s">
        <v>919</v>
      </c>
      <c r="Y29" s="2" t="s">
        <v>5244</v>
      </c>
      <c r="Z29" s="2"/>
      <c r="AA29" s="2"/>
      <c r="AB29" s="2"/>
      <c r="AC29" s="2"/>
      <c r="AD29" s="2"/>
      <c r="AE29" s="2"/>
      <c r="AF29" s="2"/>
    </row>
    <row r="30" spans="1:32" ht="75" x14ac:dyDescent="0.25">
      <c r="A30" s="2" t="s">
        <v>97</v>
      </c>
      <c r="B30" s="2" t="s">
        <v>5290</v>
      </c>
      <c r="C30" s="2" t="s">
        <v>866</v>
      </c>
      <c r="D30" s="2" t="s">
        <v>5255</v>
      </c>
      <c r="E30" s="2" t="s">
        <v>5291</v>
      </c>
      <c r="F30" s="2" t="s">
        <v>866</v>
      </c>
      <c r="G30" s="2" t="s">
        <v>866</v>
      </c>
      <c r="H30" s="2" t="s">
        <v>866</v>
      </c>
      <c r="I30" s="2" t="s">
        <v>866</v>
      </c>
      <c r="J30" s="2" t="s">
        <v>5292</v>
      </c>
      <c r="K30" s="2" t="s">
        <v>5293</v>
      </c>
      <c r="L30" s="2" t="s">
        <v>796</v>
      </c>
      <c r="M30" s="2" t="s">
        <v>5294</v>
      </c>
      <c r="N30" s="2" t="s">
        <v>5295</v>
      </c>
      <c r="O30" s="2" t="s">
        <v>225</v>
      </c>
      <c r="P30" s="2" t="s">
        <v>5296</v>
      </c>
      <c r="Q30" s="2" t="s">
        <v>5297</v>
      </c>
      <c r="R30" s="2" t="s">
        <v>5298</v>
      </c>
      <c r="S30" s="2" t="s">
        <v>5299</v>
      </c>
      <c r="T30" s="2" t="s">
        <v>866</v>
      </c>
      <c r="U30" s="2" t="s">
        <v>5300</v>
      </c>
      <c r="V30" s="2" t="s">
        <v>5226</v>
      </c>
      <c r="W30" s="2" t="s">
        <v>5301</v>
      </c>
      <c r="X30" s="2" t="s">
        <v>919</v>
      </c>
      <c r="Y30" s="2" t="s">
        <v>5090</v>
      </c>
      <c r="Z30" s="2"/>
      <c r="AA30" s="2"/>
      <c r="AB30" s="2"/>
      <c r="AC30" s="2"/>
      <c r="AD30" s="2"/>
      <c r="AE30" s="2"/>
      <c r="AF30" s="2"/>
    </row>
    <row r="31" spans="1:32" ht="60" x14ac:dyDescent="0.25">
      <c r="A31" s="2" t="s">
        <v>98</v>
      </c>
      <c r="B31" s="2" t="s">
        <v>5302</v>
      </c>
      <c r="C31" s="2" t="s">
        <v>866</v>
      </c>
      <c r="D31" s="2" t="s">
        <v>5303</v>
      </c>
      <c r="E31" s="2" t="s">
        <v>866</v>
      </c>
      <c r="F31" s="2" t="s">
        <v>866</v>
      </c>
      <c r="G31" s="2" t="s">
        <v>866</v>
      </c>
      <c r="H31" s="2" t="s">
        <v>866</v>
      </c>
      <c r="I31" s="2" t="s">
        <v>866</v>
      </c>
      <c r="J31" s="2" t="s">
        <v>866</v>
      </c>
      <c r="K31" s="2" t="s">
        <v>5304</v>
      </c>
      <c r="L31" s="2" t="s">
        <v>866</v>
      </c>
      <c r="M31" s="2" t="s">
        <v>5305</v>
      </c>
      <c r="N31" s="2" t="s">
        <v>5306</v>
      </c>
      <c r="O31" s="2" t="s">
        <v>225</v>
      </c>
      <c r="P31" s="2" t="s">
        <v>4314</v>
      </c>
      <c r="Q31" s="2" t="s">
        <v>866</v>
      </c>
      <c r="R31" s="2" t="s">
        <v>5307</v>
      </c>
      <c r="S31" s="2" t="s">
        <v>866</v>
      </c>
      <c r="T31" s="2" t="s">
        <v>866</v>
      </c>
      <c r="U31" s="2" t="s">
        <v>866</v>
      </c>
      <c r="V31" s="2" t="s">
        <v>5308</v>
      </c>
      <c r="W31" s="2" t="s">
        <v>5309</v>
      </c>
      <c r="X31" s="2" t="s">
        <v>919</v>
      </c>
      <c r="Y31" s="2" t="s">
        <v>5244</v>
      </c>
      <c r="Z31" s="2"/>
      <c r="AA31" s="2"/>
      <c r="AB31" s="2"/>
      <c r="AC31" s="2"/>
      <c r="AD31" s="2"/>
      <c r="AE31" s="2"/>
      <c r="AF31" s="2"/>
    </row>
    <row r="32" spans="1:32" ht="60" x14ac:dyDescent="0.25">
      <c r="A32" s="2" t="s">
        <v>99</v>
      </c>
      <c r="B32" s="2" t="s">
        <v>5310</v>
      </c>
      <c r="C32" s="2" t="s">
        <v>866</v>
      </c>
      <c r="D32" s="2" t="s">
        <v>5311</v>
      </c>
      <c r="E32" s="2" t="s">
        <v>866</v>
      </c>
      <c r="F32" s="2" t="s">
        <v>866</v>
      </c>
      <c r="G32" s="2" t="s">
        <v>866</v>
      </c>
      <c r="H32" s="2" t="s">
        <v>866</v>
      </c>
      <c r="I32" s="2" t="s">
        <v>866</v>
      </c>
      <c r="J32" s="2" t="s">
        <v>5312</v>
      </c>
      <c r="K32" s="2" t="s">
        <v>5313</v>
      </c>
      <c r="L32" s="2" t="s">
        <v>866</v>
      </c>
      <c r="M32" s="2" t="s">
        <v>5314</v>
      </c>
      <c r="N32" s="2" t="s">
        <v>5315</v>
      </c>
      <c r="O32" s="2" t="s">
        <v>866</v>
      </c>
      <c r="P32" s="2" t="s">
        <v>866</v>
      </c>
      <c r="Q32" s="2" t="s">
        <v>866</v>
      </c>
      <c r="R32" s="2" t="s">
        <v>5316</v>
      </c>
      <c r="S32" s="2" t="s">
        <v>866</v>
      </c>
      <c r="T32" s="2" t="s">
        <v>5317</v>
      </c>
      <c r="U32" s="2" t="s">
        <v>5318</v>
      </c>
      <c r="V32" s="2" t="s">
        <v>5319</v>
      </c>
      <c r="W32" s="2" t="s">
        <v>5320</v>
      </c>
      <c r="X32" s="2" t="s">
        <v>919</v>
      </c>
      <c r="Y32" s="2" t="s">
        <v>5244</v>
      </c>
      <c r="Z32" s="2"/>
      <c r="AA32" s="2"/>
      <c r="AB32" s="2"/>
      <c r="AC32" s="2"/>
      <c r="AD32" s="2"/>
      <c r="AE32" s="2"/>
      <c r="AF32" s="2"/>
    </row>
  </sheetData>
  <mergeCells count="1">
    <mergeCell ref="A1:A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3" sqref="D13"/>
    </sheetView>
  </sheetViews>
  <sheetFormatPr defaultRowHeight="15" x14ac:dyDescent="0.25"/>
  <cols>
    <col min="1" max="1" width="18" customWidth="1"/>
    <col min="2" max="2" width="24" customWidth="1"/>
    <col min="3" max="3" width="58" customWidth="1"/>
    <col min="4" max="4" width="62" customWidth="1"/>
    <col min="5" max="5" width="16" customWidth="1"/>
    <col min="6" max="6" width="32" customWidth="1"/>
    <col min="7" max="7" width="16" customWidth="1"/>
    <col min="8" max="8" width="32" customWidth="1"/>
    <col min="9" max="9" width="20" customWidth="1"/>
  </cols>
  <sheetData>
    <row r="1" spans="1:32" ht="27.95" customHeight="1" x14ac:dyDescent="0.3">
      <c r="A1" s="28" t="str">
        <f>IFERROR(HYPERLINK("#'Sheet Directory'!A1","Discord Sources — researched as of 2026-09-15"),"Discord Sources — researched as of 2026-09-15")</f>
        <v>Discord Sources — researched as of 2026-09-15</v>
      </c>
      <c r="B1" s="28" t="s">
        <v>5321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5322</v>
      </c>
      <c r="B2" s="11" t="s">
        <v>4438</v>
      </c>
      <c r="C2" s="11" t="s">
        <v>5323</v>
      </c>
      <c r="D2" s="11" t="s">
        <v>4440</v>
      </c>
      <c r="E2" s="11" t="s">
        <v>5324</v>
      </c>
      <c r="F2" s="11" t="s">
        <v>4439</v>
      </c>
      <c r="G2" s="11" t="s">
        <v>5325</v>
      </c>
      <c r="H2" s="11" t="s">
        <v>5326</v>
      </c>
      <c r="I2" s="11" t="s">
        <v>5327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30" x14ac:dyDescent="0.25">
      <c r="A3" s="2" t="s">
        <v>5328</v>
      </c>
      <c r="B3" s="2" t="s">
        <v>5329</v>
      </c>
      <c r="C3" s="2" t="s">
        <v>5330</v>
      </c>
      <c r="D3" s="2" t="s">
        <v>5331</v>
      </c>
      <c r="E3" s="2" t="s">
        <v>5332</v>
      </c>
      <c r="F3" s="2" t="s">
        <v>919</v>
      </c>
      <c r="G3" s="2" t="s">
        <v>5333</v>
      </c>
      <c r="H3" s="2" t="s">
        <v>4954</v>
      </c>
      <c r="I3" s="2" t="s">
        <v>5334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30" x14ac:dyDescent="0.25">
      <c r="A4" s="2" t="s">
        <v>5335</v>
      </c>
      <c r="B4" s="2" t="s">
        <v>5336</v>
      </c>
      <c r="C4" s="2" t="s">
        <v>5337</v>
      </c>
      <c r="D4" s="2" t="s">
        <v>5331</v>
      </c>
      <c r="E4" s="2" t="s">
        <v>5332</v>
      </c>
      <c r="F4" s="2" t="s">
        <v>919</v>
      </c>
      <c r="G4" s="2" t="s">
        <v>5333</v>
      </c>
      <c r="H4" s="2" t="s">
        <v>4954</v>
      </c>
      <c r="I4" s="2" t="s">
        <v>5334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30" x14ac:dyDescent="0.25">
      <c r="A5" s="2" t="s">
        <v>5338</v>
      </c>
      <c r="B5" s="2" t="s">
        <v>5339</v>
      </c>
      <c r="C5" s="2" t="s">
        <v>5340</v>
      </c>
      <c r="D5" s="2" t="s">
        <v>5331</v>
      </c>
      <c r="E5" s="2" t="s">
        <v>5332</v>
      </c>
      <c r="F5" s="2" t="s">
        <v>919</v>
      </c>
      <c r="G5" s="2" t="s">
        <v>5333</v>
      </c>
      <c r="H5" s="2" t="s">
        <v>4954</v>
      </c>
      <c r="I5" s="2" t="s">
        <v>5334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30" x14ac:dyDescent="0.25">
      <c r="A6" s="2" t="s">
        <v>5341</v>
      </c>
      <c r="B6" s="2" t="s">
        <v>780</v>
      </c>
      <c r="C6" s="2" t="s">
        <v>5342</v>
      </c>
      <c r="D6" s="2" t="s">
        <v>5331</v>
      </c>
      <c r="E6" s="2" t="s">
        <v>5332</v>
      </c>
      <c r="F6" s="2" t="s">
        <v>919</v>
      </c>
      <c r="G6" s="2" t="s">
        <v>5333</v>
      </c>
      <c r="H6" s="2" t="s">
        <v>4954</v>
      </c>
      <c r="I6" s="2" t="s">
        <v>5334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75" x14ac:dyDescent="0.25">
      <c r="A7" s="2" t="s">
        <v>5343</v>
      </c>
      <c r="B7" s="2" t="s">
        <v>5344</v>
      </c>
      <c r="C7" s="2" t="s">
        <v>5345</v>
      </c>
      <c r="D7" s="2" t="s">
        <v>5331</v>
      </c>
      <c r="E7" s="2" t="s">
        <v>5332</v>
      </c>
      <c r="F7" s="2" t="s">
        <v>919</v>
      </c>
      <c r="G7" s="2" t="s">
        <v>5333</v>
      </c>
      <c r="H7" s="2" t="s">
        <v>4954</v>
      </c>
      <c r="I7" s="2" t="s">
        <v>5334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60" x14ac:dyDescent="0.25">
      <c r="A8" s="2" t="s">
        <v>5346</v>
      </c>
      <c r="B8" s="2" t="s">
        <v>5347</v>
      </c>
      <c r="C8" s="2" t="s">
        <v>5348</v>
      </c>
      <c r="D8" s="2" t="s">
        <v>5331</v>
      </c>
      <c r="E8" s="2" t="s">
        <v>5332</v>
      </c>
      <c r="F8" s="2" t="s">
        <v>919</v>
      </c>
      <c r="G8" s="2" t="s">
        <v>5333</v>
      </c>
      <c r="H8" s="2" t="s">
        <v>4954</v>
      </c>
      <c r="I8" s="2" t="s">
        <v>5334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30" x14ac:dyDescent="0.25">
      <c r="A9" s="2" t="s">
        <v>5349</v>
      </c>
      <c r="B9" s="2" t="s">
        <v>5350</v>
      </c>
      <c r="C9" s="2" t="s">
        <v>5351</v>
      </c>
      <c r="D9" s="2" t="s">
        <v>5331</v>
      </c>
      <c r="E9" s="2" t="s">
        <v>5332</v>
      </c>
      <c r="F9" s="2" t="s">
        <v>919</v>
      </c>
      <c r="G9" s="2" t="s">
        <v>5333</v>
      </c>
      <c r="H9" s="2" t="s">
        <v>4954</v>
      </c>
      <c r="I9" s="2" t="s">
        <v>5334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45" x14ac:dyDescent="0.25">
      <c r="A10" s="2" t="s">
        <v>5352</v>
      </c>
      <c r="B10" s="2" t="s">
        <v>5353</v>
      </c>
      <c r="C10" s="2" t="s">
        <v>5354</v>
      </c>
      <c r="D10" s="2" t="s">
        <v>5331</v>
      </c>
      <c r="E10" s="2" t="s">
        <v>5332</v>
      </c>
      <c r="F10" s="2" t="s">
        <v>919</v>
      </c>
      <c r="G10" s="2" t="s">
        <v>5333</v>
      </c>
      <c r="H10" s="2" t="s">
        <v>4954</v>
      </c>
      <c r="I10" s="2" t="s">
        <v>5334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60" x14ac:dyDescent="0.25">
      <c r="A11" s="2" t="s">
        <v>5355</v>
      </c>
      <c r="B11" s="2" t="s">
        <v>2137</v>
      </c>
      <c r="C11" s="2" t="s">
        <v>5356</v>
      </c>
      <c r="D11" s="2" t="s">
        <v>5331</v>
      </c>
      <c r="E11" s="2" t="s">
        <v>5332</v>
      </c>
      <c r="F11" s="2" t="s">
        <v>919</v>
      </c>
      <c r="G11" s="2" t="s">
        <v>5333</v>
      </c>
      <c r="H11" s="2" t="s">
        <v>4954</v>
      </c>
      <c r="I11" s="2" t="s">
        <v>5334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60" x14ac:dyDescent="0.25">
      <c r="A12" s="2" t="s">
        <v>5357</v>
      </c>
      <c r="B12" s="2" t="s">
        <v>1958</v>
      </c>
      <c r="C12" s="2" t="s">
        <v>5358</v>
      </c>
      <c r="D12" s="2" t="s">
        <v>5331</v>
      </c>
      <c r="E12" s="2" t="s">
        <v>5332</v>
      </c>
      <c r="F12" s="2" t="s">
        <v>919</v>
      </c>
      <c r="G12" s="2" t="s">
        <v>5333</v>
      </c>
      <c r="H12" s="2" t="s">
        <v>4954</v>
      </c>
      <c r="I12" s="2" t="s">
        <v>5334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60" x14ac:dyDescent="0.25">
      <c r="A13" s="2" t="s">
        <v>5359</v>
      </c>
      <c r="B13" s="2" t="s">
        <v>5360</v>
      </c>
      <c r="C13" s="2" t="s">
        <v>5361</v>
      </c>
      <c r="D13" s="2" t="s">
        <v>5331</v>
      </c>
      <c r="E13" s="2" t="s">
        <v>5332</v>
      </c>
      <c r="F13" s="2" t="s">
        <v>919</v>
      </c>
      <c r="G13" s="2" t="s">
        <v>5333</v>
      </c>
      <c r="H13" s="2" t="s">
        <v>4954</v>
      </c>
      <c r="I13" s="2" t="s">
        <v>5334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60" x14ac:dyDescent="0.25">
      <c r="A14" s="2" t="s">
        <v>1687</v>
      </c>
      <c r="B14" s="2" t="s">
        <v>5362</v>
      </c>
      <c r="C14" s="2" t="s">
        <v>5363</v>
      </c>
      <c r="D14" s="2" t="s">
        <v>5331</v>
      </c>
      <c r="E14" s="2" t="s">
        <v>5332</v>
      </c>
      <c r="F14" s="2" t="s">
        <v>919</v>
      </c>
      <c r="G14" s="2" t="s">
        <v>5333</v>
      </c>
      <c r="H14" s="2" t="s">
        <v>4954</v>
      </c>
      <c r="I14" s="2" t="s">
        <v>5334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60" x14ac:dyDescent="0.25">
      <c r="A15" s="2" t="s">
        <v>5364</v>
      </c>
      <c r="B15" s="2" t="s">
        <v>5365</v>
      </c>
      <c r="C15" s="2" t="s">
        <v>5366</v>
      </c>
      <c r="D15" s="2" t="s">
        <v>5331</v>
      </c>
      <c r="E15" s="2" t="s">
        <v>5332</v>
      </c>
      <c r="F15" s="2" t="s">
        <v>919</v>
      </c>
      <c r="G15" s="2" t="s">
        <v>5333</v>
      </c>
      <c r="H15" s="2" t="s">
        <v>4954</v>
      </c>
      <c r="I15" s="2" t="s">
        <v>5334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75" x14ac:dyDescent="0.25">
      <c r="A16" s="2" t="s">
        <v>5367</v>
      </c>
      <c r="B16" s="2" t="s">
        <v>5368</v>
      </c>
      <c r="C16" s="2" t="s">
        <v>5369</v>
      </c>
      <c r="D16" s="2" t="s">
        <v>5331</v>
      </c>
      <c r="E16" s="2" t="s">
        <v>5332</v>
      </c>
      <c r="F16" s="2" t="s">
        <v>919</v>
      </c>
      <c r="G16" s="2" t="s">
        <v>5333</v>
      </c>
      <c r="H16" s="2" t="s">
        <v>4954</v>
      </c>
      <c r="I16" s="2" t="s">
        <v>5334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75" x14ac:dyDescent="0.25">
      <c r="A17" s="2" t="s">
        <v>5370</v>
      </c>
      <c r="B17" s="2" t="s">
        <v>2863</v>
      </c>
      <c r="C17" s="2" t="s">
        <v>5371</v>
      </c>
      <c r="D17" s="2" t="s">
        <v>5331</v>
      </c>
      <c r="E17" s="2" t="s">
        <v>5332</v>
      </c>
      <c r="F17" s="2" t="s">
        <v>919</v>
      </c>
      <c r="G17" s="2" t="s">
        <v>5333</v>
      </c>
      <c r="H17" s="2" t="s">
        <v>4954</v>
      </c>
      <c r="I17" s="2" t="s">
        <v>5334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60" x14ac:dyDescent="0.25">
      <c r="A18" s="2" t="s">
        <v>5372</v>
      </c>
      <c r="B18" s="2" t="s">
        <v>5373</v>
      </c>
      <c r="C18" s="2" t="s">
        <v>5374</v>
      </c>
      <c r="D18" s="2" t="s">
        <v>5331</v>
      </c>
      <c r="E18" s="2" t="s">
        <v>5332</v>
      </c>
      <c r="F18" s="2" t="s">
        <v>919</v>
      </c>
      <c r="G18" s="2" t="s">
        <v>5333</v>
      </c>
      <c r="H18" s="2" t="s">
        <v>4954</v>
      </c>
      <c r="I18" s="2" t="s">
        <v>5334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75" x14ac:dyDescent="0.25">
      <c r="A19" s="2" t="s">
        <v>5375</v>
      </c>
      <c r="B19" s="2" t="s">
        <v>5376</v>
      </c>
      <c r="C19" s="2" t="s">
        <v>5377</v>
      </c>
      <c r="D19" s="2" t="s">
        <v>5331</v>
      </c>
      <c r="E19" s="2" t="s">
        <v>5332</v>
      </c>
      <c r="F19" s="2" t="s">
        <v>919</v>
      </c>
      <c r="G19" s="2" t="s">
        <v>5333</v>
      </c>
      <c r="H19" s="2" t="s">
        <v>4954</v>
      </c>
      <c r="I19" s="2" t="s">
        <v>5334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75" x14ac:dyDescent="0.25">
      <c r="A20" s="2" t="s">
        <v>5378</v>
      </c>
      <c r="B20" s="2" t="s">
        <v>5379</v>
      </c>
      <c r="C20" s="2" t="s">
        <v>5380</v>
      </c>
      <c r="D20" s="2" t="s">
        <v>5331</v>
      </c>
      <c r="E20" s="2" t="s">
        <v>5332</v>
      </c>
      <c r="F20" s="2" t="s">
        <v>919</v>
      </c>
      <c r="G20" s="2" t="s">
        <v>5333</v>
      </c>
      <c r="H20" s="2" t="s">
        <v>4954</v>
      </c>
      <c r="I20" s="2" t="s">
        <v>5334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60" x14ac:dyDescent="0.25">
      <c r="A21" s="2" t="s">
        <v>5381</v>
      </c>
      <c r="B21" s="2" t="s">
        <v>5382</v>
      </c>
      <c r="C21" s="2" t="s">
        <v>5383</v>
      </c>
      <c r="D21" s="2" t="s">
        <v>5331</v>
      </c>
      <c r="E21" s="2" t="s">
        <v>5332</v>
      </c>
      <c r="F21" s="2" t="s">
        <v>919</v>
      </c>
      <c r="G21" s="2" t="s">
        <v>5333</v>
      </c>
      <c r="H21" s="2" t="s">
        <v>4954</v>
      </c>
      <c r="I21" s="2" t="s">
        <v>5334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60" x14ac:dyDescent="0.25">
      <c r="A22" s="2" t="s">
        <v>5384</v>
      </c>
      <c r="B22" s="2" t="s">
        <v>5385</v>
      </c>
      <c r="C22" s="2" t="s">
        <v>5386</v>
      </c>
      <c r="D22" s="2" t="s">
        <v>5331</v>
      </c>
      <c r="E22" s="2" t="s">
        <v>5332</v>
      </c>
      <c r="F22" s="2" t="s">
        <v>919</v>
      </c>
      <c r="G22" s="2" t="s">
        <v>5333</v>
      </c>
      <c r="H22" s="2" t="s">
        <v>4954</v>
      </c>
      <c r="I22" s="2" t="s">
        <v>5334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30" x14ac:dyDescent="0.25">
      <c r="A23" s="2" t="s">
        <v>5387</v>
      </c>
      <c r="B23" s="2" t="s">
        <v>5388</v>
      </c>
      <c r="C23" s="2" t="s">
        <v>5389</v>
      </c>
      <c r="D23" s="2" t="s">
        <v>5331</v>
      </c>
      <c r="E23" s="2" t="s">
        <v>5332</v>
      </c>
      <c r="F23" s="2" t="s">
        <v>919</v>
      </c>
      <c r="G23" s="2" t="s">
        <v>5333</v>
      </c>
      <c r="H23" s="2" t="s">
        <v>4954</v>
      </c>
      <c r="I23" s="2" t="s">
        <v>5334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5390</v>
      </c>
      <c r="B24" s="2" t="s">
        <v>5391</v>
      </c>
      <c r="C24" s="2" t="s">
        <v>5392</v>
      </c>
      <c r="D24" s="2" t="s">
        <v>5331</v>
      </c>
      <c r="E24" s="2" t="s">
        <v>5332</v>
      </c>
      <c r="F24" s="2" t="s">
        <v>919</v>
      </c>
      <c r="G24" s="2" t="s">
        <v>5333</v>
      </c>
      <c r="H24" s="2" t="s">
        <v>4954</v>
      </c>
      <c r="I24" s="2" t="s">
        <v>5334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60" x14ac:dyDescent="0.25">
      <c r="A25" s="2" t="s">
        <v>5393</v>
      </c>
      <c r="B25" s="2" t="s">
        <v>5394</v>
      </c>
      <c r="C25" s="2" t="s">
        <v>5395</v>
      </c>
      <c r="D25" s="2" t="s">
        <v>5331</v>
      </c>
      <c r="E25" s="2" t="s">
        <v>5332</v>
      </c>
      <c r="F25" s="2" t="s">
        <v>919</v>
      </c>
      <c r="G25" s="2" t="s">
        <v>5333</v>
      </c>
      <c r="H25" s="2" t="s">
        <v>4954</v>
      </c>
      <c r="I25" s="2" t="s">
        <v>5334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45" x14ac:dyDescent="0.25">
      <c r="A26" s="2" t="s">
        <v>5396</v>
      </c>
      <c r="B26" s="2" t="s">
        <v>5397</v>
      </c>
      <c r="C26" s="2" t="s">
        <v>5398</v>
      </c>
      <c r="D26" s="2" t="s">
        <v>5331</v>
      </c>
      <c r="E26" s="2" t="s">
        <v>5332</v>
      </c>
      <c r="F26" s="2" t="s">
        <v>919</v>
      </c>
      <c r="G26" s="2" t="s">
        <v>5333</v>
      </c>
      <c r="H26" s="2" t="s">
        <v>4954</v>
      </c>
      <c r="I26" s="2" t="s">
        <v>5334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30" x14ac:dyDescent="0.25">
      <c r="A27" s="2" t="s">
        <v>5399</v>
      </c>
      <c r="B27" s="2" t="s">
        <v>5400</v>
      </c>
      <c r="C27" s="2" t="s">
        <v>5401</v>
      </c>
      <c r="D27" s="2" t="s">
        <v>5331</v>
      </c>
      <c r="E27" s="2" t="s">
        <v>5332</v>
      </c>
      <c r="F27" s="2" t="s">
        <v>919</v>
      </c>
      <c r="G27" s="2" t="s">
        <v>5333</v>
      </c>
      <c r="H27" s="2" t="s">
        <v>4954</v>
      </c>
      <c r="I27" s="2" t="s">
        <v>5334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75" x14ac:dyDescent="0.25">
      <c r="A28" s="2" t="s">
        <v>5402</v>
      </c>
      <c r="B28" s="2" t="s">
        <v>5403</v>
      </c>
      <c r="C28" s="2" t="s">
        <v>5404</v>
      </c>
      <c r="D28" s="2" t="s">
        <v>5331</v>
      </c>
      <c r="E28" s="2" t="s">
        <v>5332</v>
      </c>
      <c r="F28" s="2" t="s">
        <v>919</v>
      </c>
      <c r="G28" s="2" t="s">
        <v>5333</v>
      </c>
      <c r="H28" s="2" t="s">
        <v>4954</v>
      </c>
      <c r="I28" s="2" t="s">
        <v>5334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60" x14ac:dyDescent="0.25">
      <c r="A29" s="2" t="s">
        <v>5405</v>
      </c>
      <c r="B29" s="2" t="s">
        <v>5406</v>
      </c>
      <c r="C29" s="2" t="s">
        <v>5407</v>
      </c>
      <c r="D29" s="2" t="s">
        <v>5331</v>
      </c>
      <c r="E29" s="2" t="s">
        <v>5332</v>
      </c>
      <c r="F29" s="2" t="s">
        <v>919</v>
      </c>
      <c r="G29" s="2" t="s">
        <v>5333</v>
      </c>
      <c r="H29" s="2" t="s">
        <v>4954</v>
      </c>
      <c r="I29" s="2" t="s">
        <v>5334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30" x14ac:dyDescent="0.25">
      <c r="A30" s="2" t="s">
        <v>5408</v>
      </c>
      <c r="B30" s="2" t="s">
        <v>5409</v>
      </c>
      <c r="C30" s="2" t="s">
        <v>5410</v>
      </c>
      <c r="D30" s="2" t="s">
        <v>5331</v>
      </c>
      <c r="E30" s="2" t="s">
        <v>5332</v>
      </c>
      <c r="F30" s="2" t="s">
        <v>919</v>
      </c>
      <c r="G30" s="2" t="s">
        <v>5333</v>
      </c>
      <c r="H30" s="2" t="s">
        <v>4954</v>
      </c>
      <c r="I30" s="2" t="s">
        <v>5334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30" x14ac:dyDescent="0.25">
      <c r="A31" s="2" t="s">
        <v>5411</v>
      </c>
      <c r="B31" s="2" t="s">
        <v>5412</v>
      </c>
      <c r="C31" s="2" t="s">
        <v>5413</v>
      </c>
      <c r="D31" s="2" t="s">
        <v>5331</v>
      </c>
      <c r="E31" s="2" t="s">
        <v>5332</v>
      </c>
      <c r="F31" s="2" t="s">
        <v>919</v>
      </c>
      <c r="G31" s="2" t="s">
        <v>5333</v>
      </c>
      <c r="H31" s="2" t="s">
        <v>4954</v>
      </c>
      <c r="I31" s="2" t="s">
        <v>5334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30" x14ac:dyDescent="0.25">
      <c r="A32" s="2" t="s">
        <v>5414</v>
      </c>
      <c r="B32" s="2" t="s">
        <v>5415</v>
      </c>
      <c r="C32" s="2" t="s">
        <v>5416</v>
      </c>
      <c r="D32" s="2" t="s">
        <v>5331</v>
      </c>
      <c r="E32" s="2" t="s">
        <v>5332</v>
      </c>
      <c r="F32" s="2" t="s">
        <v>919</v>
      </c>
      <c r="G32" s="2" t="s">
        <v>5333</v>
      </c>
      <c r="H32" s="2" t="s">
        <v>4954</v>
      </c>
      <c r="I32" s="2" t="s">
        <v>5334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45" x14ac:dyDescent="0.25">
      <c r="A33" s="2" t="s">
        <v>1329</v>
      </c>
      <c r="B33" s="2" t="s">
        <v>5417</v>
      </c>
      <c r="C33" s="2" t="s">
        <v>5418</v>
      </c>
      <c r="D33" s="2" t="s">
        <v>5331</v>
      </c>
      <c r="E33" s="2" t="s">
        <v>5332</v>
      </c>
      <c r="F33" s="2" t="s">
        <v>919</v>
      </c>
      <c r="G33" s="2" t="s">
        <v>5333</v>
      </c>
      <c r="H33" s="2" t="s">
        <v>4954</v>
      </c>
      <c r="I33" s="2" t="s">
        <v>5334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30" x14ac:dyDescent="0.25">
      <c r="A34" s="2" t="s">
        <v>5419</v>
      </c>
      <c r="B34" s="2" t="s">
        <v>5420</v>
      </c>
      <c r="C34" s="2" t="s">
        <v>5421</v>
      </c>
      <c r="D34" s="2" t="s">
        <v>5331</v>
      </c>
      <c r="E34" s="2" t="s">
        <v>5332</v>
      </c>
      <c r="F34" s="2" t="s">
        <v>919</v>
      </c>
      <c r="G34" s="2" t="s">
        <v>5333</v>
      </c>
      <c r="H34" s="2" t="s">
        <v>4954</v>
      </c>
      <c r="I34" s="2" t="s">
        <v>5334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45" x14ac:dyDescent="0.25">
      <c r="A35" s="2" t="s">
        <v>5422</v>
      </c>
      <c r="B35" s="2" t="s">
        <v>5423</v>
      </c>
      <c r="C35" s="2" t="s">
        <v>5424</v>
      </c>
      <c r="D35" s="2" t="s">
        <v>5331</v>
      </c>
      <c r="E35" s="2" t="s">
        <v>5332</v>
      </c>
      <c r="F35" s="2" t="s">
        <v>919</v>
      </c>
      <c r="G35" s="2" t="s">
        <v>5333</v>
      </c>
      <c r="H35" s="2" t="s">
        <v>4954</v>
      </c>
      <c r="I35" s="2" t="s">
        <v>5334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75" x14ac:dyDescent="0.25">
      <c r="A36" s="2" t="s">
        <v>5425</v>
      </c>
      <c r="B36" s="2" t="s">
        <v>5426</v>
      </c>
      <c r="C36" s="2" t="s">
        <v>5427</v>
      </c>
      <c r="D36" s="2" t="s">
        <v>5331</v>
      </c>
      <c r="E36" s="2" t="s">
        <v>5332</v>
      </c>
      <c r="F36" s="2" t="s">
        <v>919</v>
      </c>
      <c r="G36" s="2" t="s">
        <v>5333</v>
      </c>
      <c r="H36" s="2" t="s">
        <v>4954</v>
      </c>
      <c r="I36" s="2" t="s">
        <v>5334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30" x14ac:dyDescent="0.25">
      <c r="A37" s="2" t="s">
        <v>5428</v>
      </c>
      <c r="B37" s="2" t="s">
        <v>5429</v>
      </c>
      <c r="C37" s="2" t="s">
        <v>5430</v>
      </c>
      <c r="D37" s="2" t="s">
        <v>5331</v>
      </c>
      <c r="E37" s="2" t="s">
        <v>5332</v>
      </c>
      <c r="F37" s="2" t="s">
        <v>919</v>
      </c>
      <c r="G37" s="2" t="s">
        <v>5333</v>
      </c>
      <c r="H37" s="2" t="s">
        <v>4954</v>
      </c>
      <c r="I37" s="2" t="s">
        <v>5334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60" x14ac:dyDescent="0.25">
      <c r="A38" s="2" t="s">
        <v>5431</v>
      </c>
      <c r="B38" s="2" t="s">
        <v>1625</v>
      </c>
      <c r="C38" s="2" t="s">
        <v>5432</v>
      </c>
      <c r="D38" s="2" t="s">
        <v>5331</v>
      </c>
      <c r="E38" s="2" t="s">
        <v>5332</v>
      </c>
      <c r="F38" s="2" t="s">
        <v>919</v>
      </c>
      <c r="G38" s="2" t="s">
        <v>5333</v>
      </c>
      <c r="H38" s="2" t="s">
        <v>4954</v>
      </c>
      <c r="I38" s="2" t="s">
        <v>5334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60" x14ac:dyDescent="0.25">
      <c r="A39" s="2" t="s">
        <v>5433</v>
      </c>
      <c r="B39" s="2" t="s">
        <v>5434</v>
      </c>
      <c r="C39" s="2" t="s">
        <v>5435</v>
      </c>
      <c r="D39" s="2" t="s">
        <v>5331</v>
      </c>
      <c r="E39" s="2" t="s">
        <v>5332</v>
      </c>
      <c r="F39" s="2" t="s">
        <v>919</v>
      </c>
      <c r="G39" s="2" t="s">
        <v>5333</v>
      </c>
      <c r="H39" s="2" t="s">
        <v>4954</v>
      </c>
      <c r="I39" s="2" t="s">
        <v>5334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30" x14ac:dyDescent="0.25">
      <c r="A40" s="2" t="s">
        <v>5436</v>
      </c>
      <c r="B40" s="2" t="s">
        <v>5420</v>
      </c>
      <c r="C40" s="2" t="s">
        <v>5437</v>
      </c>
      <c r="D40" s="2" t="s">
        <v>5438</v>
      </c>
      <c r="E40" s="2" t="s">
        <v>5332</v>
      </c>
      <c r="F40" s="2" t="s">
        <v>919</v>
      </c>
      <c r="G40" s="2" t="s">
        <v>5333</v>
      </c>
      <c r="H40" s="2" t="s">
        <v>5439</v>
      </c>
      <c r="I40" s="2" t="s">
        <v>5334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45" x14ac:dyDescent="0.25">
      <c r="A41" s="2" t="s">
        <v>5422</v>
      </c>
      <c r="B41" s="2" t="s">
        <v>5423</v>
      </c>
      <c r="C41" s="2" t="s">
        <v>5440</v>
      </c>
      <c r="D41" s="2" t="s">
        <v>5441</v>
      </c>
      <c r="E41" s="2" t="s">
        <v>5332</v>
      </c>
      <c r="F41" s="2" t="s">
        <v>919</v>
      </c>
      <c r="G41" s="2" t="s">
        <v>5333</v>
      </c>
      <c r="H41" s="2" t="s">
        <v>5439</v>
      </c>
      <c r="I41" s="2" t="s">
        <v>5334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45" x14ac:dyDescent="0.25">
      <c r="A42" s="2" t="s">
        <v>5442</v>
      </c>
      <c r="B42" s="2" t="s">
        <v>5443</v>
      </c>
      <c r="C42" s="2" t="s">
        <v>5444</v>
      </c>
      <c r="D42" s="2" t="s">
        <v>5445</v>
      </c>
      <c r="E42" s="2" t="s">
        <v>5332</v>
      </c>
      <c r="F42" s="2" t="s">
        <v>919</v>
      </c>
      <c r="G42" s="2" t="s">
        <v>5333</v>
      </c>
      <c r="H42" s="2" t="s">
        <v>5446</v>
      </c>
      <c r="I42" s="2" t="s">
        <v>5334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</sheetData>
  <mergeCells count="1">
    <mergeCell ref="A1:AF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1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8" customWidth="1"/>
    <col min="2" max="2" width="24" customWidth="1"/>
    <col min="3" max="3" width="58" customWidth="1"/>
    <col min="4" max="4" width="62" customWidth="1"/>
    <col min="5" max="5" width="16" customWidth="1"/>
    <col min="6" max="6" width="32" customWidth="1"/>
    <col min="7" max="7" width="16" customWidth="1"/>
    <col min="8" max="8" width="32" customWidth="1"/>
    <col min="9" max="9" width="20" customWidth="1"/>
  </cols>
  <sheetData>
    <row r="1" spans="1:32" ht="27.95" customHeight="1" x14ac:dyDescent="0.3">
      <c r="A1" s="28" t="str">
        <f>IFERROR(HYPERLINK("#'Sheet Directory'!A1","Research Sources — alternatives re-verified from first-party sources as of 2026-09-15"),"Research Sources — alternatives re-verified from first-party sources as of 2026-09-15")</f>
        <v>Research Sources — alternatives re-verified from first-party sources as of 2026-09-15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30" customHeight="1" x14ac:dyDescent="0.25">
      <c r="A2" s="11" t="s">
        <v>4426</v>
      </c>
      <c r="B2" s="11" t="s">
        <v>5322</v>
      </c>
      <c r="C2" s="11" t="s">
        <v>5447</v>
      </c>
      <c r="D2" s="11" t="s">
        <v>5323</v>
      </c>
      <c r="E2" s="11" t="s">
        <v>5448</v>
      </c>
      <c r="F2" s="11" t="s">
        <v>5324</v>
      </c>
      <c r="G2" s="11" t="s">
        <v>5325</v>
      </c>
      <c r="H2" s="11" t="s">
        <v>5326</v>
      </c>
      <c r="I2" s="11" t="s">
        <v>5327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30" x14ac:dyDescent="0.25">
      <c r="A3" s="2" t="s">
        <v>71</v>
      </c>
      <c r="B3" s="2" t="s">
        <v>5449</v>
      </c>
      <c r="C3" s="2" t="s">
        <v>5450</v>
      </c>
      <c r="D3" s="2" t="s">
        <v>5451</v>
      </c>
      <c r="E3" s="2" t="s">
        <v>919</v>
      </c>
      <c r="F3" s="2" t="s">
        <v>5452</v>
      </c>
      <c r="G3" s="2" t="s">
        <v>5333</v>
      </c>
      <c r="H3" s="2" t="s">
        <v>4954</v>
      </c>
      <c r="I3" s="2" t="s">
        <v>5334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71</v>
      </c>
      <c r="B4" s="2" t="s">
        <v>5453</v>
      </c>
      <c r="C4" s="2" t="s">
        <v>2421</v>
      </c>
      <c r="D4" s="2" t="s">
        <v>5454</v>
      </c>
      <c r="E4" s="2" t="s">
        <v>919</v>
      </c>
      <c r="F4" s="2" t="s">
        <v>5452</v>
      </c>
      <c r="G4" s="2" t="s">
        <v>5333</v>
      </c>
      <c r="H4" s="2" t="s">
        <v>4954</v>
      </c>
      <c r="I4" s="2" t="s">
        <v>5334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71</v>
      </c>
      <c r="B5" s="2" t="s">
        <v>5455</v>
      </c>
      <c r="C5" s="2" t="s">
        <v>5456</v>
      </c>
      <c r="D5" s="2" t="s">
        <v>5457</v>
      </c>
      <c r="E5" s="2" t="s">
        <v>919</v>
      </c>
      <c r="F5" s="2" t="s">
        <v>5452</v>
      </c>
      <c r="G5" s="2" t="s">
        <v>5333</v>
      </c>
      <c r="H5" s="2" t="s">
        <v>4954</v>
      </c>
      <c r="I5" s="2" t="s">
        <v>5334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71</v>
      </c>
      <c r="B6" s="2" t="s">
        <v>5458</v>
      </c>
      <c r="C6" s="2" t="s">
        <v>5459</v>
      </c>
      <c r="D6" s="2" t="s">
        <v>5460</v>
      </c>
      <c r="E6" s="2" t="s">
        <v>919</v>
      </c>
      <c r="F6" s="2" t="s">
        <v>5452</v>
      </c>
      <c r="G6" s="2" t="s">
        <v>5333</v>
      </c>
      <c r="H6" s="2" t="s">
        <v>4954</v>
      </c>
      <c r="I6" s="2" t="s">
        <v>5334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72</v>
      </c>
      <c r="B7" s="2" t="s">
        <v>5461</v>
      </c>
      <c r="C7" s="2" t="s">
        <v>5462</v>
      </c>
      <c r="D7" s="2" t="s">
        <v>5463</v>
      </c>
      <c r="E7" s="2" t="s">
        <v>919</v>
      </c>
      <c r="F7" s="2" t="s">
        <v>5452</v>
      </c>
      <c r="G7" s="2" t="s">
        <v>5333</v>
      </c>
      <c r="H7" s="2" t="s">
        <v>4954</v>
      </c>
      <c r="I7" s="2" t="s">
        <v>5334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30" x14ac:dyDescent="0.25">
      <c r="A8" s="2" t="s">
        <v>72</v>
      </c>
      <c r="B8" s="2" t="s">
        <v>5464</v>
      </c>
      <c r="C8" s="2" t="s">
        <v>5465</v>
      </c>
      <c r="D8" s="2" t="s">
        <v>5466</v>
      </c>
      <c r="E8" s="2" t="s">
        <v>919</v>
      </c>
      <c r="F8" s="2" t="s">
        <v>5452</v>
      </c>
      <c r="G8" s="2" t="s">
        <v>5333</v>
      </c>
      <c r="H8" s="2" t="s">
        <v>4954</v>
      </c>
      <c r="I8" s="2" t="s">
        <v>5334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72</v>
      </c>
      <c r="B9" s="2" t="s">
        <v>5467</v>
      </c>
      <c r="C9" s="2" t="s">
        <v>4405</v>
      </c>
      <c r="D9" s="2" t="s">
        <v>5468</v>
      </c>
      <c r="E9" s="2" t="s">
        <v>919</v>
      </c>
      <c r="F9" s="2" t="s">
        <v>5452</v>
      </c>
      <c r="G9" s="2" t="s">
        <v>5333</v>
      </c>
      <c r="H9" s="2" t="s">
        <v>4954</v>
      </c>
      <c r="I9" s="2" t="s">
        <v>5334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73</v>
      </c>
      <c r="B10" s="2" t="s">
        <v>5469</v>
      </c>
      <c r="C10" s="2" t="s">
        <v>783</v>
      </c>
      <c r="D10" s="2" t="s">
        <v>5470</v>
      </c>
      <c r="E10" s="2" t="s">
        <v>919</v>
      </c>
      <c r="F10" s="2" t="s">
        <v>5452</v>
      </c>
      <c r="G10" s="2" t="s">
        <v>5333</v>
      </c>
      <c r="H10" s="2" t="s">
        <v>4954</v>
      </c>
      <c r="I10" s="2" t="s">
        <v>5334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73</v>
      </c>
      <c r="B11" s="2" t="s">
        <v>5471</v>
      </c>
      <c r="C11" s="2" t="s">
        <v>5472</v>
      </c>
      <c r="D11" s="2" t="s">
        <v>5473</v>
      </c>
      <c r="E11" s="2" t="s">
        <v>919</v>
      </c>
      <c r="F11" s="2" t="s">
        <v>5452</v>
      </c>
      <c r="G11" s="2" t="s">
        <v>5333</v>
      </c>
      <c r="H11" s="2" t="s">
        <v>4954</v>
      </c>
      <c r="I11" s="2" t="s">
        <v>5334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30" x14ac:dyDescent="0.25">
      <c r="A12" s="2" t="s">
        <v>73</v>
      </c>
      <c r="B12" s="2" t="s">
        <v>5474</v>
      </c>
      <c r="C12" s="2" t="s">
        <v>5475</v>
      </c>
      <c r="D12" s="2" t="s">
        <v>5476</v>
      </c>
      <c r="E12" s="2" t="s">
        <v>919</v>
      </c>
      <c r="F12" s="2" t="s">
        <v>5452</v>
      </c>
      <c r="G12" s="2" t="s">
        <v>5333</v>
      </c>
      <c r="H12" s="2" t="s">
        <v>4954</v>
      </c>
      <c r="I12" s="2" t="s">
        <v>5334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30" x14ac:dyDescent="0.25">
      <c r="A13" s="2" t="s">
        <v>74</v>
      </c>
      <c r="B13" s="2" t="s">
        <v>5477</v>
      </c>
      <c r="C13" s="2" t="s">
        <v>784</v>
      </c>
      <c r="D13" s="2" t="s">
        <v>5478</v>
      </c>
      <c r="E13" s="2" t="s">
        <v>919</v>
      </c>
      <c r="F13" s="2" t="s">
        <v>5452</v>
      </c>
      <c r="G13" s="2" t="s">
        <v>5333</v>
      </c>
      <c r="H13" s="2" t="s">
        <v>4954</v>
      </c>
      <c r="I13" s="2" t="s">
        <v>5334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30" x14ac:dyDescent="0.25">
      <c r="A14" s="2" t="s">
        <v>74</v>
      </c>
      <c r="B14" s="2" t="s">
        <v>5479</v>
      </c>
      <c r="C14" s="2" t="s">
        <v>5480</v>
      </c>
      <c r="D14" s="2" t="s">
        <v>5481</v>
      </c>
      <c r="E14" s="2" t="s">
        <v>919</v>
      </c>
      <c r="F14" s="2" t="s">
        <v>5452</v>
      </c>
      <c r="G14" s="2" t="s">
        <v>5333</v>
      </c>
      <c r="H14" s="2" t="s">
        <v>4954</v>
      </c>
      <c r="I14" s="2" t="s">
        <v>5334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74</v>
      </c>
      <c r="B15" s="2" t="s">
        <v>5482</v>
      </c>
      <c r="C15" s="2" t="s">
        <v>5483</v>
      </c>
      <c r="D15" s="2" t="s">
        <v>5484</v>
      </c>
      <c r="E15" s="2" t="s">
        <v>919</v>
      </c>
      <c r="F15" s="2" t="s">
        <v>5452</v>
      </c>
      <c r="G15" s="2" t="s">
        <v>5333</v>
      </c>
      <c r="H15" s="2" t="s">
        <v>4954</v>
      </c>
      <c r="I15" s="2" t="s">
        <v>5334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74</v>
      </c>
      <c r="B16" s="2" t="s">
        <v>5485</v>
      </c>
      <c r="C16" s="2" t="s">
        <v>5486</v>
      </c>
      <c r="D16" s="2" t="s">
        <v>5487</v>
      </c>
      <c r="E16" s="2" t="s">
        <v>919</v>
      </c>
      <c r="F16" s="2" t="s">
        <v>5452</v>
      </c>
      <c r="G16" s="2" t="s">
        <v>5333</v>
      </c>
      <c r="H16" s="2" t="s">
        <v>4954</v>
      </c>
      <c r="I16" s="2" t="s">
        <v>5334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74</v>
      </c>
      <c r="B17" s="2" t="s">
        <v>5488</v>
      </c>
      <c r="C17" s="2" t="s">
        <v>2138</v>
      </c>
      <c r="D17" s="2" t="s">
        <v>5489</v>
      </c>
      <c r="E17" s="2" t="s">
        <v>919</v>
      </c>
      <c r="F17" s="2" t="s">
        <v>5452</v>
      </c>
      <c r="G17" s="2" t="s">
        <v>5333</v>
      </c>
      <c r="H17" s="2" t="s">
        <v>4954</v>
      </c>
      <c r="I17" s="2" t="s">
        <v>5334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75</v>
      </c>
      <c r="B18" s="2" t="s">
        <v>5490</v>
      </c>
      <c r="C18" s="2" t="s">
        <v>5491</v>
      </c>
      <c r="D18" s="2" t="s">
        <v>5492</v>
      </c>
      <c r="E18" s="2" t="s">
        <v>919</v>
      </c>
      <c r="F18" s="2" t="s">
        <v>5452</v>
      </c>
      <c r="G18" s="2" t="s">
        <v>5333</v>
      </c>
      <c r="H18" s="2" t="s">
        <v>4954</v>
      </c>
      <c r="I18" s="2" t="s">
        <v>5334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75</v>
      </c>
      <c r="B19" s="2" t="s">
        <v>5493</v>
      </c>
      <c r="C19" s="2" t="s">
        <v>5494</v>
      </c>
      <c r="D19" s="2" t="s">
        <v>5495</v>
      </c>
      <c r="E19" s="2" t="s">
        <v>919</v>
      </c>
      <c r="F19" s="2" t="s">
        <v>5452</v>
      </c>
      <c r="G19" s="2" t="s">
        <v>5333</v>
      </c>
      <c r="H19" s="2" t="s">
        <v>4954</v>
      </c>
      <c r="I19" s="2" t="s">
        <v>5334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75</v>
      </c>
      <c r="B20" s="2" t="s">
        <v>5496</v>
      </c>
      <c r="C20" s="2" t="s">
        <v>5497</v>
      </c>
      <c r="D20" s="2" t="s">
        <v>5498</v>
      </c>
      <c r="E20" s="2" t="s">
        <v>919</v>
      </c>
      <c r="F20" s="2" t="s">
        <v>5452</v>
      </c>
      <c r="G20" s="2" t="s">
        <v>5333</v>
      </c>
      <c r="H20" s="2" t="s">
        <v>4954</v>
      </c>
      <c r="I20" s="2" t="s">
        <v>5334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76</v>
      </c>
      <c r="B21" s="2" t="s">
        <v>5499</v>
      </c>
      <c r="C21" s="2" t="s">
        <v>5500</v>
      </c>
      <c r="D21" s="2" t="s">
        <v>5501</v>
      </c>
      <c r="E21" s="2" t="s">
        <v>919</v>
      </c>
      <c r="F21" s="2" t="s">
        <v>5452</v>
      </c>
      <c r="G21" s="2" t="s">
        <v>5333</v>
      </c>
      <c r="H21" s="2" t="s">
        <v>4954</v>
      </c>
      <c r="I21" s="2" t="s">
        <v>5334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76</v>
      </c>
      <c r="B22" s="2" t="s">
        <v>5502</v>
      </c>
      <c r="C22" s="2" t="s">
        <v>5503</v>
      </c>
      <c r="D22" s="2" t="s">
        <v>5504</v>
      </c>
      <c r="E22" s="2" t="s">
        <v>919</v>
      </c>
      <c r="F22" s="2" t="s">
        <v>5452</v>
      </c>
      <c r="G22" s="2" t="s">
        <v>5333</v>
      </c>
      <c r="H22" s="2" t="s">
        <v>4954</v>
      </c>
      <c r="I22" s="2" t="s">
        <v>5334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76</v>
      </c>
      <c r="B23" s="2" t="s">
        <v>1225</v>
      </c>
      <c r="C23" s="2" t="s">
        <v>5505</v>
      </c>
      <c r="D23" s="2" t="s">
        <v>5506</v>
      </c>
      <c r="E23" s="2" t="s">
        <v>919</v>
      </c>
      <c r="F23" s="2" t="s">
        <v>5452</v>
      </c>
      <c r="G23" s="2" t="s">
        <v>5333</v>
      </c>
      <c r="H23" s="2" t="s">
        <v>4954</v>
      </c>
      <c r="I23" s="2" t="s">
        <v>5334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77</v>
      </c>
      <c r="B24" s="2" t="s">
        <v>5507</v>
      </c>
      <c r="C24" s="2" t="s">
        <v>2406</v>
      </c>
      <c r="D24" s="2" t="s">
        <v>5508</v>
      </c>
      <c r="E24" s="2" t="s">
        <v>919</v>
      </c>
      <c r="F24" s="2" t="s">
        <v>5452</v>
      </c>
      <c r="G24" s="2" t="s">
        <v>5333</v>
      </c>
      <c r="H24" s="2" t="s">
        <v>4954</v>
      </c>
      <c r="I24" s="2" t="s">
        <v>5334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78</v>
      </c>
      <c r="B25" s="2" t="s">
        <v>5509</v>
      </c>
      <c r="C25" s="2" t="s">
        <v>5510</v>
      </c>
      <c r="D25" s="2" t="s">
        <v>5511</v>
      </c>
      <c r="E25" s="2" t="s">
        <v>919</v>
      </c>
      <c r="F25" s="2" t="s">
        <v>5452</v>
      </c>
      <c r="G25" s="2" t="s">
        <v>5333</v>
      </c>
      <c r="H25" s="2" t="s">
        <v>4954</v>
      </c>
      <c r="I25" s="2" t="s">
        <v>5334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79</v>
      </c>
      <c r="B26" s="2" t="s">
        <v>5512</v>
      </c>
      <c r="C26" s="2" t="s">
        <v>2424</v>
      </c>
      <c r="D26" s="2" t="s">
        <v>5513</v>
      </c>
      <c r="E26" s="2" t="s">
        <v>919</v>
      </c>
      <c r="F26" s="2" t="s">
        <v>5452</v>
      </c>
      <c r="G26" s="2" t="s">
        <v>5333</v>
      </c>
      <c r="H26" s="2" t="s">
        <v>4954</v>
      </c>
      <c r="I26" s="2" t="s">
        <v>5334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80</v>
      </c>
      <c r="B27" s="2" t="s">
        <v>5514</v>
      </c>
      <c r="C27" s="2" t="s">
        <v>768</v>
      </c>
      <c r="D27" s="2" t="s">
        <v>5515</v>
      </c>
      <c r="E27" s="2" t="s">
        <v>919</v>
      </c>
      <c r="F27" s="2" t="s">
        <v>5452</v>
      </c>
      <c r="G27" s="2" t="s">
        <v>5333</v>
      </c>
      <c r="H27" s="2" t="s">
        <v>4954</v>
      </c>
      <c r="I27" s="2" t="s">
        <v>5334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80</v>
      </c>
      <c r="B28" s="2" t="s">
        <v>5507</v>
      </c>
      <c r="C28" s="2" t="s">
        <v>2425</v>
      </c>
      <c r="D28" s="2" t="s">
        <v>5516</v>
      </c>
      <c r="E28" s="2" t="s">
        <v>919</v>
      </c>
      <c r="F28" s="2" t="s">
        <v>5452</v>
      </c>
      <c r="G28" s="2" t="s">
        <v>5333</v>
      </c>
      <c r="H28" s="2" t="s">
        <v>4954</v>
      </c>
      <c r="I28" s="2" t="s">
        <v>5334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81</v>
      </c>
      <c r="B29" s="2" t="s">
        <v>5507</v>
      </c>
      <c r="C29" s="2" t="s">
        <v>2426</v>
      </c>
      <c r="D29" s="2" t="s">
        <v>5517</v>
      </c>
      <c r="E29" s="2" t="s">
        <v>919</v>
      </c>
      <c r="F29" s="2" t="s">
        <v>5452</v>
      </c>
      <c r="G29" s="2" t="s">
        <v>5333</v>
      </c>
      <c r="H29" s="2" t="s">
        <v>4954</v>
      </c>
      <c r="I29" s="2" t="s">
        <v>5334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30" x14ac:dyDescent="0.25">
      <c r="A30" s="2" t="s">
        <v>81</v>
      </c>
      <c r="B30" s="2" t="s">
        <v>5518</v>
      </c>
      <c r="C30" s="2" t="s">
        <v>5519</v>
      </c>
      <c r="D30" s="2" t="s">
        <v>5520</v>
      </c>
      <c r="E30" s="2" t="s">
        <v>919</v>
      </c>
      <c r="F30" s="2" t="s">
        <v>5452</v>
      </c>
      <c r="G30" s="2" t="s">
        <v>5333</v>
      </c>
      <c r="H30" s="2" t="s">
        <v>4954</v>
      </c>
      <c r="I30" s="2" t="s">
        <v>5334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30" x14ac:dyDescent="0.25">
      <c r="A31" s="2" t="s">
        <v>82</v>
      </c>
      <c r="B31" s="2" t="s">
        <v>5521</v>
      </c>
      <c r="C31" s="2" t="s">
        <v>1772</v>
      </c>
      <c r="D31" s="2" t="s">
        <v>5522</v>
      </c>
      <c r="E31" s="2" t="s">
        <v>919</v>
      </c>
      <c r="F31" s="2" t="s">
        <v>5452</v>
      </c>
      <c r="G31" s="2" t="s">
        <v>5333</v>
      </c>
      <c r="H31" s="2" t="s">
        <v>4954</v>
      </c>
      <c r="I31" s="2" t="s">
        <v>5334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82</v>
      </c>
      <c r="B32" s="2" t="s">
        <v>5523</v>
      </c>
      <c r="C32" s="2" t="s">
        <v>5524</v>
      </c>
      <c r="D32" s="2" t="s">
        <v>5525</v>
      </c>
      <c r="E32" s="2" t="s">
        <v>919</v>
      </c>
      <c r="F32" s="2" t="s">
        <v>5452</v>
      </c>
      <c r="G32" s="2" t="s">
        <v>5333</v>
      </c>
      <c r="H32" s="2" t="s">
        <v>4954</v>
      </c>
      <c r="I32" s="2" t="s">
        <v>5334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83</v>
      </c>
      <c r="B33" s="2" t="s">
        <v>5526</v>
      </c>
      <c r="C33" s="2" t="s">
        <v>771</v>
      </c>
      <c r="D33" s="2" t="s">
        <v>5527</v>
      </c>
      <c r="E33" s="2" t="s">
        <v>919</v>
      </c>
      <c r="F33" s="2" t="s">
        <v>5452</v>
      </c>
      <c r="G33" s="2" t="s">
        <v>5333</v>
      </c>
      <c r="H33" s="2" t="s">
        <v>4954</v>
      </c>
      <c r="I33" s="2" t="s">
        <v>5334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83</v>
      </c>
      <c r="B34" s="2" t="s">
        <v>5528</v>
      </c>
      <c r="C34" s="2" t="s">
        <v>5529</v>
      </c>
      <c r="D34" s="2" t="s">
        <v>5530</v>
      </c>
      <c r="E34" s="2" t="s">
        <v>919</v>
      </c>
      <c r="F34" s="2" t="s">
        <v>5452</v>
      </c>
      <c r="G34" s="2" t="s">
        <v>5333</v>
      </c>
      <c r="H34" s="2" t="s">
        <v>4954</v>
      </c>
      <c r="I34" s="2" t="s">
        <v>5334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84</v>
      </c>
      <c r="B35" s="2" t="s">
        <v>5526</v>
      </c>
      <c r="C35" s="2" t="s">
        <v>4629</v>
      </c>
      <c r="D35" s="2" t="s">
        <v>5531</v>
      </c>
      <c r="E35" s="2" t="s">
        <v>919</v>
      </c>
      <c r="F35" s="2" t="s">
        <v>5452</v>
      </c>
      <c r="G35" s="2" t="s">
        <v>5333</v>
      </c>
      <c r="H35" s="2" t="s">
        <v>4954</v>
      </c>
      <c r="I35" s="2" t="s">
        <v>5334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84</v>
      </c>
      <c r="B36" s="2" t="s">
        <v>5532</v>
      </c>
      <c r="C36" s="2" t="s">
        <v>791</v>
      </c>
      <c r="D36" s="2" t="s">
        <v>5533</v>
      </c>
      <c r="E36" s="2" t="s">
        <v>919</v>
      </c>
      <c r="F36" s="2" t="s">
        <v>5452</v>
      </c>
      <c r="G36" s="2" t="s">
        <v>5333</v>
      </c>
      <c r="H36" s="2" t="s">
        <v>4954</v>
      </c>
      <c r="I36" s="2" t="s">
        <v>5334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85</v>
      </c>
      <c r="B37" s="2" t="s">
        <v>5526</v>
      </c>
      <c r="C37" s="2" t="s">
        <v>4632</v>
      </c>
      <c r="D37" s="2" t="s">
        <v>5534</v>
      </c>
      <c r="E37" s="2" t="s">
        <v>919</v>
      </c>
      <c r="F37" s="2" t="s">
        <v>5452</v>
      </c>
      <c r="G37" s="2" t="s">
        <v>5333</v>
      </c>
      <c r="H37" s="2" t="s">
        <v>4954</v>
      </c>
      <c r="I37" s="2" t="s">
        <v>5334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30" x14ac:dyDescent="0.25">
      <c r="A38" s="2" t="s">
        <v>86</v>
      </c>
      <c r="B38" s="2" t="s">
        <v>5535</v>
      </c>
      <c r="C38" s="2" t="s">
        <v>5536</v>
      </c>
      <c r="D38" s="2" t="s">
        <v>5537</v>
      </c>
      <c r="E38" s="2" t="s">
        <v>919</v>
      </c>
      <c r="F38" s="2" t="s">
        <v>5452</v>
      </c>
      <c r="G38" s="2" t="s">
        <v>5333</v>
      </c>
      <c r="H38" s="2" t="s">
        <v>4954</v>
      </c>
      <c r="I38" s="2" t="s">
        <v>5334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87</v>
      </c>
      <c r="B39" s="2" t="s">
        <v>5538</v>
      </c>
      <c r="C39" s="2" t="s">
        <v>1629</v>
      </c>
      <c r="D39" s="2" t="s">
        <v>5539</v>
      </c>
      <c r="E39" s="2" t="s">
        <v>919</v>
      </c>
      <c r="F39" s="2" t="s">
        <v>5452</v>
      </c>
      <c r="G39" s="2" t="s">
        <v>5333</v>
      </c>
      <c r="H39" s="2" t="s">
        <v>4954</v>
      </c>
      <c r="I39" s="2" t="s">
        <v>5334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2" t="s">
        <v>87</v>
      </c>
      <c r="B40" s="2" t="s">
        <v>5528</v>
      </c>
      <c r="C40" s="2" t="s">
        <v>2411</v>
      </c>
      <c r="D40" s="2" t="s">
        <v>5540</v>
      </c>
      <c r="E40" s="2" t="s">
        <v>919</v>
      </c>
      <c r="F40" s="2" t="s">
        <v>5452</v>
      </c>
      <c r="G40" s="2" t="s">
        <v>5333</v>
      </c>
      <c r="H40" s="2" t="s">
        <v>4954</v>
      </c>
      <c r="I40" s="2" t="s">
        <v>5334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2" t="s">
        <v>88</v>
      </c>
      <c r="B41" s="2" t="s">
        <v>5526</v>
      </c>
      <c r="C41" s="2" t="s">
        <v>4641</v>
      </c>
      <c r="D41" s="2" t="s">
        <v>5541</v>
      </c>
      <c r="E41" s="2" t="s">
        <v>919</v>
      </c>
      <c r="F41" s="2" t="s">
        <v>5452</v>
      </c>
      <c r="G41" s="2" t="s">
        <v>5333</v>
      </c>
      <c r="H41" s="2" t="s">
        <v>4954</v>
      </c>
      <c r="I41" s="2" t="s">
        <v>5334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2" t="s">
        <v>88</v>
      </c>
      <c r="B42" s="2" t="s">
        <v>5532</v>
      </c>
      <c r="C42" s="2" t="s">
        <v>793</v>
      </c>
      <c r="D42" s="2" t="s">
        <v>5542</v>
      </c>
      <c r="E42" s="2" t="s">
        <v>919</v>
      </c>
      <c r="F42" s="2" t="s">
        <v>5452</v>
      </c>
      <c r="G42" s="2" t="s">
        <v>5333</v>
      </c>
      <c r="H42" s="2" t="s">
        <v>4954</v>
      </c>
      <c r="I42" s="2" t="s">
        <v>5334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2" t="s">
        <v>89</v>
      </c>
      <c r="B43" s="2" t="s">
        <v>5526</v>
      </c>
      <c r="C43" s="2" t="s">
        <v>5543</v>
      </c>
      <c r="D43" s="2" t="s">
        <v>5544</v>
      </c>
      <c r="E43" s="2" t="s">
        <v>919</v>
      </c>
      <c r="F43" s="2" t="s">
        <v>5452</v>
      </c>
      <c r="G43" s="2" t="s">
        <v>5333</v>
      </c>
      <c r="H43" s="2" t="s">
        <v>4954</v>
      </c>
      <c r="I43" s="2" t="s">
        <v>5334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2" t="s">
        <v>89</v>
      </c>
      <c r="B44" s="2" t="s">
        <v>5532</v>
      </c>
      <c r="C44" s="2" t="s">
        <v>794</v>
      </c>
      <c r="D44" s="2" t="s">
        <v>5545</v>
      </c>
      <c r="E44" s="2" t="s">
        <v>919</v>
      </c>
      <c r="F44" s="2" t="s">
        <v>5452</v>
      </c>
      <c r="G44" s="2" t="s">
        <v>5333</v>
      </c>
      <c r="H44" s="2" t="s">
        <v>4954</v>
      </c>
      <c r="I44" s="2" t="s">
        <v>5334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2" t="s">
        <v>5546</v>
      </c>
      <c r="B45" s="2" t="s">
        <v>5547</v>
      </c>
      <c r="C45" s="2" t="s">
        <v>5548</v>
      </c>
      <c r="D45" s="2" t="s">
        <v>5549</v>
      </c>
      <c r="E45" s="2" t="s">
        <v>919</v>
      </c>
      <c r="F45" s="2" t="s">
        <v>5452</v>
      </c>
      <c r="G45" s="2" t="s">
        <v>5333</v>
      </c>
      <c r="H45" s="2" t="s">
        <v>4954</v>
      </c>
      <c r="I45" s="2" t="s">
        <v>5334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 t="s">
        <v>91</v>
      </c>
      <c r="B46" s="2" t="s">
        <v>5528</v>
      </c>
      <c r="C46" s="2" t="s">
        <v>2413</v>
      </c>
      <c r="D46" s="2" t="s">
        <v>5550</v>
      </c>
      <c r="E46" s="2" t="s">
        <v>919</v>
      </c>
      <c r="F46" s="2" t="s">
        <v>5452</v>
      </c>
      <c r="G46" s="2" t="s">
        <v>5333</v>
      </c>
      <c r="H46" s="2" t="s">
        <v>4954</v>
      </c>
      <c r="I46" s="2" t="s">
        <v>5334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2" t="s">
        <v>92</v>
      </c>
      <c r="B47" s="2" t="s">
        <v>5528</v>
      </c>
      <c r="C47" s="2" t="s">
        <v>776</v>
      </c>
      <c r="D47" s="2" t="s">
        <v>5551</v>
      </c>
      <c r="E47" s="2" t="s">
        <v>919</v>
      </c>
      <c r="F47" s="2" t="s">
        <v>5452</v>
      </c>
      <c r="G47" s="2" t="s">
        <v>5333</v>
      </c>
      <c r="H47" s="2" t="s">
        <v>4954</v>
      </c>
      <c r="I47" s="2" t="s">
        <v>5334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2" t="s">
        <v>93</v>
      </c>
      <c r="B48" s="2" t="s">
        <v>5528</v>
      </c>
      <c r="C48" s="2" t="s">
        <v>777</v>
      </c>
      <c r="D48" s="2" t="s">
        <v>5552</v>
      </c>
      <c r="E48" s="2" t="s">
        <v>919</v>
      </c>
      <c r="F48" s="2" t="s">
        <v>5452</v>
      </c>
      <c r="G48" s="2" t="s">
        <v>5333</v>
      </c>
      <c r="H48" s="2" t="s">
        <v>4954</v>
      </c>
      <c r="I48" s="2" t="s">
        <v>5334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30" x14ac:dyDescent="0.25">
      <c r="A49" s="2" t="s">
        <v>93</v>
      </c>
      <c r="B49" s="2" t="s">
        <v>5553</v>
      </c>
      <c r="C49" s="2" t="s">
        <v>5554</v>
      </c>
      <c r="D49" s="2" t="s">
        <v>5555</v>
      </c>
      <c r="E49" s="2" t="s">
        <v>919</v>
      </c>
      <c r="F49" s="2" t="s">
        <v>5452</v>
      </c>
      <c r="G49" s="2" t="s">
        <v>5333</v>
      </c>
      <c r="H49" s="2" t="s">
        <v>4954</v>
      </c>
      <c r="I49" s="2" t="s">
        <v>5334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2" t="s">
        <v>94</v>
      </c>
      <c r="B50" s="2" t="s">
        <v>5556</v>
      </c>
      <c r="C50" s="2" t="s">
        <v>5557</v>
      </c>
      <c r="D50" s="2" t="s">
        <v>5558</v>
      </c>
      <c r="E50" s="2" t="s">
        <v>919</v>
      </c>
      <c r="F50" s="2" t="s">
        <v>5452</v>
      </c>
      <c r="G50" s="2" t="s">
        <v>5333</v>
      </c>
      <c r="H50" s="2" t="s">
        <v>4954</v>
      </c>
      <c r="I50" s="2" t="s">
        <v>5334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5">
      <c r="A51" s="2" t="s">
        <v>94</v>
      </c>
      <c r="B51" s="2" t="s">
        <v>5559</v>
      </c>
      <c r="C51" s="2" t="s">
        <v>5560</v>
      </c>
      <c r="D51" s="2" t="s">
        <v>5561</v>
      </c>
      <c r="E51" s="2" t="s">
        <v>919</v>
      </c>
      <c r="F51" s="2" t="s">
        <v>5452</v>
      </c>
      <c r="G51" s="2" t="s">
        <v>5333</v>
      </c>
      <c r="H51" s="2" t="s">
        <v>4954</v>
      </c>
      <c r="I51" s="2" t="s">
        <v>5334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5">
      <c r="A52" s="2" t="s">
        <v>95</v>
      </c>
      <c r="B52" s="2" t="s">
        <v>5526</v>
      </c>
      <c r="C52" s="2" t="s">
        <v>5562</v>
      </c>
      <c r="D52" s="2" t="s">
        <v>5563</v>
      </c>
      <c r="E52" s="2" t="s">
        <v>919</v>
      </c>
      <c r="F52" s="2" t="s">
        <v>5452</v>
      </c>
      <c r="G52" s="2" t="s">
        <v>5333</v>
      </c>
      <c r="H52" s="2" t="s">
        <v>4954</v>
      </c>
      <c r="I52" s="2" t="s">
        <v>5334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30" x14ac:dyDescent="0.25">
      <c r="A53" s="2" t="s">
        <v>96</v>
      </c>
      <c r="B53" s="2" t="s">
        <v>5526</v>
      </c>
      <c r="C53" s="2" t="s">
        <v>1961</v>
      </c>
      <c r="D53" s="2" t="s">
        <v>5564</v>
      </c>
      <c r="E53" s="2" t="s">
        <v>919</v>
      </c>
      <c r="F53" s="2" t="s">
        <v>5452</v>
      </c>
      <c r="G53" s="2" t="s">
        <v>5333</v>
      </c>
      <c r="H53" s="2" t="s">
        <v>4954</v>
      </c>
      <c r="I53" s="2" t="s">
        <v>5334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5">
      <c r="A54" s="2" t="s">
        <v>97</v>
      </c>
      <c r="B54" s="2" t="s">
        <v>5526</v>
      </c>
      <c r="C54" s="2" t="s">
        <v>4686</v>
      </c>
      <c r="D54" s="2" t="s">
        <v>5565</v>
      </c>
      <c r="E54" s="2" t="s">
        <v>919</v>
      </c>
      <c r="F54" s="2" t="s">
        <v>5452</v>
      </c>
      <c r="G54" s="2" t="s">
        <v>5333</v>
      </c>
      <c r="H54" s="2" t="s">
        <v>4954</v>
      </c>
      <c r="I54" s="2" t="s">
        <v>5334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5">
      <c r="A55" s="2" t="s">
        <v>98</v>
      </c>
      <c r="B55" s="2" t="s">
        <v>5566</v>
      </c>
      <c r="C55" s="2" t="s">
        <v>5567</v>
      </c>
      <c r="D55" s="2" t="s">
        <v>5568</v>
      </c>
      <c r="E55" s="2" t="s">
        <v>919</v>
      </c>
      <c r="F55" s="2" t="s">
        <v>5452</v>
      </c>
      <c r="G55" s="2" t="s">
        <v>5333</v>
      </c>
      <c r="H55" s="2" t="s">
        <v>4954</v>
      </c>
      <c r="I55" s="2" t="s">
        <v>5334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2" t="s">
        <v>98</v>
      </c>
      <c r="B56" s="2" t="s">
        <v>5528</v>
      </c>
      <c r="C56" s="2" t="s">
        <v>2416</v>
      </c>
      <c r="D56" s="2" t="s">
        <v>5569</v>
      </c>
      <c r="E56" s="2" t="s">
        <v>919</v>
      </c>
      <c r="F56" s="2" t="s">
        <v>5452</v>
      </c>
      <c r="G56" s="2" t="s">
        <v>5333</v>
      </c>
      <c r="H56" s="2" t="s">
        <v>4954</v>
      </c>
      <c r="I56" s="2" t="s">
        <v>5334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2" t="s">
        <v>99</v>
      </c>
      <c r="B57" s="2" t="s">
        <v>5526</v>
      </c>
      <c r="C57" s="2" t="s">
        <v>1962</v>
      </c>
      <c r="D57" s="2" t="s">
        <v>5570</v>
      </c>
      <c r="E57" s="2" t="s">
        <v>919</v>
      </c>
      <c r="F57" s="2" t="s">
        <v>5452</v>
      </c>
      <c r="G57" s="2" t="s">
        <v>5333</v>
      </c>
      <c r="H57" s="2" t="s">
        <v>4954</v>
      </c>
      <c r="I57" s="2" t="s">
        <v>5334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2" t="s">
        <v>99</v>
      </c>
      <c r="B58" s="2" t="s">
        <v>5528</v>
      </c>
      <c r="C58" s="2" t="s">
        <v>2417</v>
      </c>
      <c r="D58" s="2" t="s">
        <v>5571</v>
      </c>
      <c r="E58" s="2" t="s">
        <v>919</v>
      </c>
      <c r="F58" s="2" t="s">
        <v>5452</v>
      </c>
      <c r="G58" s="2" t="s">
        <v>5333</v>
      </c>
      <c r="H58" s="2" t="s">
        <v>4954</v>
      </c>
      <c r="I58" s="2" t="s">
        <v>5334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30" x14ac:dyDescent="0.25">
      <c r="A59" s="2" t="s">
        <v>70</v>
      </c>
      <c r="B59" s="2" t="s">
        <v>5572</v>
      </c>
      <c r="C59" s="2" t="s">
        <v>5573</v>
      </c>
      <c r="D59" s="2" t="s">
        <v>5574</v>
      </c>
      <c r="E59" s="2" t="s">
        <v>919</v>
      </c>
      <c r="F59" s="2" t="s">
        <v>5452</v>
      </c>
      <c r="G59" s="2" t="s">
        <v>5333</v>
      </c>
      <c r="H59" s="2" t="s">
        <v>4954</v>
      </c>
      <c r="I59" s="2" t="s">
        <v>5334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30" x14ac:dyDescent="0.25">
      <c r="A60" s="2" t="s">
        <v>70</v>
      </c>
      <c r="B60" s="2" t="s">
        <v>5575</v>
      </c>
      <c r="C60" s="2" t="s">
        <v>1625</v>
      </c>
      <c r="D60" s="2" t="s">
        <v>5576</v>
      </c>
      <c r="E60" s="2" t="s">
        <v>919</v>
      </c>
      <c r="F60" s="2" t="s">
        <v>5452</v>
      </c>
      <c r="G60" s="2" t="s">
        <v>5333</v>
      </c>
      <c r="H60" s="2" t="s">
        <v>4954</v>
      </c>
      <c r="I60" s="2" t="s">
        <v>5334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2" t="s">
        <v>72</v>
      </c>
      <c r="B61" s="2" t="s">
        <v>5577</v>
      </c>
      <c r="C61" s="2" t="s">
        <v>4405</v>
      </c>
      <c r="D61" s="2" t="s">
        <v>5578</v>
      </c>
      <c r="E61" s="2" t="s">
        <v>919</v>
      </c>
      <c r="F61" s="2" t="s">
        <v>5452</v>
      </c>
      <c r="G61" s="2" t="s">
        <v>5333</v>
      </c>
      <c r="H61" s="2" t="s">
        <v>4954</v>
      </c>
      <c r="I61" s="2" t="s">
        <v>5334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30" x14ac:dyDescent="0.25">
      <c r="A62" s="2" t="s">
        <v>73</v>
      </c>
      <c r="B62" s="2" t="s">
        <v>5579</v>
      </c>
      <c r="C62" s="2" t="s">
        <v>1626</v>
      </c>
      <c r="D62" s="2" t="s">
        <v>5580</v>
      </c>
      <c r="E62" s="2" t="s">
        <v>919</v>
      </c>
      <c r="F62" s="2" t="s">
        <v>5452</v>
      </c>
      <c r="G62" s="2" t="s">
        <v>5333</v>
      </c>
      <c r="H62" s="2" t="s">
        <v>4954</v>
      </c>
      <c r="I62" s="2" t="s">
        <v>5334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30" x14ac:dyDescent="0.25">
      <c r="A63" s="2" t="s">
        <v>74</v>
      </c>
      <c r="B63" s="2" t="s">
        <v>5581</v>
      </c>
      <c r="C63" s="2" t="s">
        <v>1959</v>
      </c>
      <c r="D63" s="2" t="s">
        <v>5582</v>
      </c>
      <c r="E63" s="2" t="s">
        <v>919</v>
      </c>
      <c r="F63" s="2" t="s">
        <v>5452</v>
      </c>
      <c r="G63" s="2" t="s">
        <v>5333</v>
      </c>
      <c r="H63" s="2" t="s">
        <v>4954</v>
      </c>
      <c r="I63" s="2" t="s">
        <v>5334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30" x14ac:dyDescent="0.25">
      <c r="A64" s="2" t="s">
        <v>78</v>
      </c>
      <c r="B64" s="2" t="s">
        <v>5583</v>
      </c>
      <c r="C64" s="2" t="s">
        <v>1627</v>
      </c>
      <c r="D64" s="2" t="s">
        <v>5584</v>
      </c>
      <c r="E64" s="2" t="s">
        <v>919</v>
      </c>
      <c r="F64" s="2" t="s">
        <v>5452</v>
      </c>
      <c r="G64" s="2" t="s">
        <v>5333</v>
      </c>
      <c r="H64" s="2" t="s">
        <v>4954</v>
      </c>
      <c r="I64" s="2" t="s">
        <v>5334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30" x14ac:dyDescent="0.25">
      <c r="A65" s="2" t="s">
        <v>78</v>
      </c>
      <c r="B65" s="2" t="s">
        <v>5585</v>
      </c>
      <c r="C65" s="2" t="s">
        <v>5586</v>
      </c>
      <c r="D65" s="2" t="s">
        <v>5587</v>
      </c>
      <c r="E65" s="2" t="s">
        <v>919</v>
      </c>
      <c r="F65" s="2" t="s">
        <v>5452</v>
      </c>
      <c r="G65" s="2" t="s">
        <v>5333</v>
      </c>
      <c r="H65" s="2" t="s">
        <v>4954</v>
      </c>
      <c r="I65" s="2" t="s">
        <v>5334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30" x14ac:dyDescent="0.25">
      <c r="A66" s="2" t="s">
        <v>79</v>
      </c>
      <c r="B66" s="2" t="s">
        <v>5588</v>
      </c>
      <c r="C66" s="2" t="s">
        <v>2139</v>
      </c>
      <c r="D66" s="2" t="s">
        <v>5589</v>
      </c>
      <c r="E66" s="2" t="s">
        <v>919</v>
      </c>
      <c r="F66" s="2" t="s">
        <v>5452</v>
      </c>
      <c r="G66" s="2" t="s">
        <v>5333</v>
      </c>
      <c r="H66" s="2" t="s">
        <v>4954</v>
      </c>
      <c r="I66" s="2" t="s">
        <v>5334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30" x14ac:dyDescent="0.25">
      <c r="A67" s="2" t="s">
        <v>80</v>
      </c>
      <c r="B67" s="2" t="s">
        <v>5590</v>
      </c>
      <c r="C67" s="2" t="s">
        <v>4582</v>
      </c>
      <c r="D67" s="2" t="s">
        <v>5591</v>
      </c>
      <c r="E67" s="2" t="s">
        <v>919</v>
      </c>
      <c r="F67" s="2" t="s">
        <v>5452</v>
      </c>
      <c r="G67" s="2" t="s">
        <v>5333</v>
      </c>
      <c r="H67" s="2" t="s">
        <v>4954</v>
      </c>
      <c r="I67" s="2" t="s">
        <v>5334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30" x14ac:dyDescent="0.25">
      <c r="A68" s="2" t="s">
        <v>81</v>
      </c>
      <c r="B68" s="2" t="s">
        <v>5592</v>
      </c>
      <c r="C68" s="2" t="s">
        <v>4408</v>
      </c>
      <c r="D68" s="2" t="s">
        <v>5593</v>
      </c>
      <c r="E68" s="2" t="s">
        <v>919</v>
      </c>
      <c r="F68" s="2" t="s">
        <v>5452</v>
      </c>
      <c r="G68" s="2" t="s">
        <v>5333</v>
      </c>
      <c r="H68" s="2" t="s">
        <v>4954</v>
      </c>
      <c r="I68" s="2" t="s">
        <v>5334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30" x14ac:dyDescent="0.25">
      <c r="A69" s="2" t="s">
        <v>82</v>
      </c>
      <c r="B69" s="2" t="s">
        <v>5594</v>
      </c>
      <c r="C69" s="2" t="s">
        <v>1628</v>
      </c>
      <c r="D69" s="2" t="s">
        <v>5595</v>
      </c>
      <c r="E69" s="2" t="s">
        <v>919</v>
      </c>
      <c r="F69" s="2" t="s">
        <v>5452</v>
      </c>
      <c r="G69" s="2" t="s">
        <v>5333</v>
      </c>
      <c r="H69" s="2" t="s">
        <v>4954</v>
      </c>
      <c r="I69" s="2" t="s">
        <v>5334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2" t="s">
        <v>82</v>
      </c>
      <c r="B70" s="2" t="s">
        <v>5596</v>
      </c>
      <c r="C70" s="2" t="s">
        <v>5597</v>
      </c>
      <c r="D70" s="2" t="s">
        <v>5598</v>
      </c>
      <c r="E70" s="2" t="s">
        <v>919</v>
      </c>
      <c r="F70" s="2" t="s">
        <v>5452</v>
      </c>
      <c r="G70" s="2" t="s">
        <v>5333</v>
      </c>
      <c r="H70" s="2" t="s">
        <v>4954</v>
      </c>
      <c r="I70" s="2" t="s">
        <v>5334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30" x14ac:dyDescent="0.25">
      <c r="A71" s="2" t="s">
        <v>87</v>
      </c>
      <c r="B71" s="2" t="s">
        <v>5599</v>
      </c>
      <c r="C71" s="2" t="s">
        <v>1629</v>
      </c>
      <c r="D71" s="2" t="s">
        <v>5600</v>
      </c>
      <c r="E71" s="2" t="s">
        <v>919</v>
      </c>
      <c r="F71" s="2" t="s">
        <v>5452</v>
      </c>
      <c r="G71" s="2" t="s">
        <v>5333</v>
      </c>
      <c r="H71" s="2" t="s">
        <v>4954</v>
      </c>
      <c r="I71" s="2" t="s">
        <v>5334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30" x14ac:dyDescent="0.25">
      <c r="A72" s="2" t="s">
        <v>95</v>
      </c>
      <c r="B72" s="2" t="s">
        <v>5601</v>
      </c>
      <c r="C72" s="2" t="s">
        <v>1773</v>
      </c>
      <c r="D72" s="2" t="s">
        <v>5602</v>
      </c>
      <c r="E72" s="2" t="s">
        <v>919</v>
      </c>
      <c r="F72" s="2" t="s">
        <v>5452</v>
      </c>
      <c r="G72" s="2" t="s">
        <v>5333</v>
      </c>
      <c r="H72" s="2" t="s">
        <v>4954</v>
      </c>
      <c r="I72" s="2" t="s">
        <v>5334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2" t="s">
        <v>95</v>
      </c>
      <c r="B73" s="2" t="s">
        <v>5603</v>
      </c>
      <c r="C73" s="2" t="s">
        <v>2864</v>
      </c>
      <c r="D73" s="2" t="s">
        <v>5604</v>
      </c>
      <c r="E73" s="2" t="s">
        <v>919</v>
      </c>
      <c r="F73" s="2" t="s">
        <v>5452</v>
      </c>
      <c r="G73" s="2" t="s">
        <v>5333</v>
      </c>
      <c r="H73" s="2" t="s">
        <v>4954</v>
      </c>
      <c r="I73" s="2" t="s">
        <v>5334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30" x14ac:dyDescent="0.25">
      <c r="A74" s="2" t="s">
        <v>99</v>
      </c>
      <c r="B74" s="2" t="s">
        <v>5605</v>
      </c>
      <c r="C74" s="2" t="s">
        <v>1631</v>
      </c>
      <c r="D74" s="2" t="s">
        <v>5606</v>
      </c>
      <c r="E74" s="2" t="s">
        <v>919</v>
      </c>
      <c r="F74" s="2" t="s">
        <v>5452</v>
      </c>
      <c r="G74" s="2" t="s">
        <v>5333</v>
      </c>
      <c r="H74" s="2" t="s">
        <v>4954</v>
      </c>
      <c r="I74" s="2" t="s">
        <v>5334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30" x14ac:dyDescent="0.25">
      <c r="A75" s="2" t="s">
        <v>95</v>
      </c>
      <c r="B75" s="2" t="s">
        <v>5607</v>
      </c>
      <c r="C75" s="2" t="s">
        <v>795</v>
      </c>
      <c r="D75" s="2" t="s">
        <v>5608</v>
      </c>
      <c r="E75" s="2" t="s">
        <v>919</v>
      </c>
      <c r="F75" s="2" t="s">
        <v>5452</v>
      </c>
      <c r="G75" s="2" t="s">
        <v>5333</v>
      </c>
      <c r="H75" s="2" t="s">
        <v>4954</v>
      </c>
      <c r="I75" s="2" t="s">
        <v>5334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30" x14ac:dyDescent="0.25">
      <c r="A76" s="2" t="s">
        <v>95</v>
      </c>
      <c r="B76" s="2" t="s">
        <v>5609</v>
      </c>
      <c r="C76" s="2" t="s">
        <v>5610</v>
      </c>
      <c r="D76" s="2" t="s">
        <v>5611</v>
      </c>
      <c r="E76" s="2" t="s">
        <v>919</v>
      </c>
      <c r="F76" s="2" t="s">
        <v>5452</v>
      </c>
      <c r="G76" s="2" t="s">
        <v>5333</v>
      </c>
      <c r="H76" s="2" t="s">
        <v>4954</v>
      </c>
      <c r="I76" s="2" t="s">
        <v>5334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30" x14ac:dyDescent="0.25">
      <c r="A77" s="2" t="s">
        <v>95</v>
      </c>
      <c r="B77" s="2" t="s">
        <v>5612</v>
      </c>
      <c r="C77" s="2" t="s">
        <v>5613</v>
      </c>
      <c r="D77" s="2" t="s">
        <v>5614</v>
      </c>
      <c r="E77" s="2" t="s">
        <v>919</v>
      </c>
      <c r="F77" s="2" t="s">
        <v>5452</v>
      </c>
      <c r="G77" s="2" t="s">
        <v>5333</v>
      </c>
      <c r="H77" s="2" t="s">
        <v>4954</v>
      </c>
      <c r="I77" s="2" t="s">
        <v>5334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30" x14ac:dyDescent="0.25">
      <c r="A78" s="2" t="s">
        <v>95</v>
      </c>
      <c r="B78" s="2" t="s">
        <v>5615</v>
      </c>
      <c r="C78" s="2" t="s">
        <v>5610</v>
      </c>
      <c r="D78" s="2" t="s">
        <v>5616</v>
      </c>
      <c r="E78" s="2" t="s">
        <v>919</v>
      </c>
      <c r="F78" s="2" t="s">
        <v>5332</v>
      </c>
      <c r="G78" s="2" t="s">
        <v>5333</v>
      </c>
      <c r="H78" s="2" t="s">
        <v>5617</v>
      </c>
      <c r="I78" s="2" t="s">
        <v>5334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2" t="s">
        <v>95</v>
      </c>
      <c r="B79" s="2" t="s">
        <v>5618</v>
      </c>
      <c r="C79" s="2" t="s">
        <v>5613</v>
      </c>
      <c r="D79" s="2" t="s">
        <v>5619</v>
      </c>
      <c r="E79" s="2" t="s">
        <v>919</v>
      </c>
      <c r="F79" s="2" t="s">
        <v>5332</v>
      </c>
      <c r="G79" s="2" t="s">
        <v>5333</v>
      </c>
      <c r="H79" s="2" t="s">
        <v>5620</v>
      </c>
      <c r="I79" s="2" t="s">
        <v>5334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30" x14ac:dyDescent="0.25">
      <c r="A80" s="2" t="s">
        <v>80</v>
      </c>
      <c r="B80" s="2" t="s">
        <v>5621</v>
      </c>
      <c r="C80" s="2" t="s">
        <v>5622</v>
      </c>
      <c r="D80" s="2" t="s">
        <v>5623</v>
      </c>
      <c r="E80" s="2" t="s">
        <v>919</v>
      </c>
      <c r="F80" s="2" t="s">
        <v>5624</v>
      </c>
      <c r="G80" s="2" t="s">
        <v>5333</v>
      </c>
      <c r="H80" s="2" t="s">
        <v>5439</v>
      </c>
      <c r="I80" s="2" t="s">
        <v>5334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30" x14ac:dyDescent="0.25">
      <c r="A81" s="2" t="s">
        <v>81</v>
      </c>
      <c r="B81" s="2" t="s">
        <v>5625</v>
      </c>
      <c r="C81" s="2" t="s">
        <v>5626</v>
      </c>
      <c r="D81" s="2" t="s">
        <v>5627</v>
      </c>
      <c r="E81" s="2" t="s">
        <v>919</v>
      </c>
      <c r="F81" s="2" t="s">
        <v>5624</v>
      </c>
      <c r="G81" s="2" t="s">
        <v>5333</v>
      </c>
      <c r="H81" s="2" t="s">
        <v>5439</v>
      </c>
      <c r="I81" s="2" t="s">
        <v>5334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30" x14ac:dyDescent="0.25">
      <c r="A82" s="2" t="s">
        <v>79</v>
      </c>
      <c r="B82" s="2" t="s">
        <v>5628</v>
      </c>
      <c r="C82" s="2" t="s">
        <v>5629</v>
      </c>
      <c r="D82" s="2" t="s">
        <v>5630</v>
      </c>
      <c r="E82" s="2" t="s">
        <v>919</v>
      </c>
      <c r="F82" s="2" t="s">
        <v>5631</v>
      </c>
      <c r="G82" s="2" t="s">
        <v>5333</v>
      </c>
      <c r="H82" s="2" t="s">
        <v>5446</v>
      </c>
      <c r="I82" s="2" t="s">
        <v>5334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30" x14ac:dyDescent="0.25">
      <c r="A83" s="2" t="s">
        <v>5632</v>
      </c>
      <c r="B83" s="2" t="s">
        <v>5633</v>
      </c>
      <c r="C83" s="2" t="s">
        <v>5634</v>
      </c>
      <c r="D83" s="2" t="s">
        <v>5635</v>
      </c>
      <c r="E83" s="2" t="s">
        <v>919</v>
      </c>
      <c r="F83" s="2" t="s">
        <v>5636</v>
      </c>
      <c r="G83" s="2" t="s">
        <v>5333</v>
      </c>
      <c r="H83" s="2" t="s">
        <v>20</v>
      </c>
      <c r="I83" s="2" t="s">
        <v>5334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30" x14ac:dyDescent="0.25">
      <c r="A84" s="2" t="s">
        <v>70</v>
      </c>
      <c r="B84" s="2" t="s">
        <v>5637</v>
      </c>
      <c r="C84" s="2" t="s">
        <v>2137</v>
      </c>
      <c r="D84" s="2" t="s">
        <v>5638</v>
      </c>
      <c r="E84" s="2" t="s">
        <v>919</v>
      </c>
      <c r="F84" s="2" t="s">
        <v>5639</v>
      </c>
      <c r="G84" s="2" t="s">
        <v>5333</v>
      </c>
      <c r="H84" s="2" t="s">
        <v>5640</v>
      </c>
      <c r="I84" s="2" t="s">
        <v>5334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30" x14ac:dyDescent="0.25">
      <c r="A85" s="2" t="s">
        <v>71</v>
      </c>
      <c r="B85" s="2" t="s">
        <v>5641</v>
      </c>
      <c r="C85" s="2" t="s">
        <v>4472</v>
      </c>
      <c r="D85" s="2" t="s">
        <v>5642</v>
      </c>
      <c r="E85" s="2" t="s">
        <v>919</v>
      </c>
      <c r="F85" s="2" t="s">
        <v>5639</v>
      </c>
      <c r="G85" s="2" t="s">
        <v>5333</v>
      </c>
      <c r="H85" s="2" t="s">
        <v>4954</v>
      </c>
      <c r="I85" s="2" t="s">
        <v>5334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30" x14ac:dyDescent="0.25">
      <c r="A86" s="2" t="s">
        <v>72</v>
      </c>
      <c r="B86" s="2" t="s">
        <v>5641</v>
      </c>
      <c r="C86" s="2" t="s">
        <v>5462</v>
      </c>
      <c r="D86" s="2" t="s">
        <v>5643</v>
      </c>
      <c r="E86" s="2" t="s">
        <v>919</v>
      </c>
      <c r="F86" s="2" t="s">
        <v>5639</v>
      </c>
      <c r="G86" s="2" t="s">
        <v>5333</v>
      </c>
      <c r="H86" s="2" t="s">
        <v>4954</v>
      </c>
      <c r="I86" s="2" t="s">
        <v>5334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5">
      <c r="A87" s="2" t="s">
        <v>73</v>
      </c>
      <c r="B87" s="2" t="s">
        <v>5644</v>
      </c>
      <c r="C87" s="2" t="s">
        <v>783</v>
      </c>
      <c r="D87" s="2" t="s">
        <v>5645</v>
      </c>
      <c r="E87" s="2" t="s">
        <v>919</v>
      </c>
      <c r="F87" s="2" t="s">
        <v>5639</v>
      </c>
      <c r="G87" s="2" t="s">
        <v>5333</v>
      </c>
      <c r="H87" s="2" t="s">
        <v>5646</v>
      </c>
      <c r="I87" s="2" t="s">
        <v>5334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30" x14ac:dyDescent="0.25">
      <c r="A88" s="2" t="s">
        <v>75</v>
      </c>
      <c r="B88" s="2" t="s">
        <v>5647</v>
      </c>
      <c r="C88" s="2" t="s">
        <v>5648</v>
      </c>
      <c r="D88" s="2" t="s">
        <v>5649</v>
      </c>
      <c r="E88" s="2" t="s">
        <v>919</v>
      </c>
      <c r="F88" s="2" t="s">
        <v>5650</v>
      </c>
      <c r="G88" s="2" t="s">
        <v>5333</v>
      </c>
      <c r="H88" s="2" t="s">
        <v>4954</v>
      </c>
      <c r="I88" s="2" t="s">
        <v>5334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30" x14ac:dyDescent="0.25">
      <c r="A89" s="2" t="s">
        <v>79</v>
      </c>
      <c r="B89" s="2" t="s">
        <v>5651</v>
      </c>
      <c r="C89" s="2" t="s">
        <v>2139</v>
      </c>
      <c r="D89" s="2" t="s">
        <v>5652</v>
      </c>
      <c r="E89" s="2" t="s">
        <v>919</v>
      </c>
      <c r="F89" s="2" t="s">
        <v>5639</v>
      </c>
      <c r="G89" s="2" t="s">
        <v>5333</v>
      </c>
      <c r="H89" s="2" t="s">
        <v>4954</v>
      </c>
      <c r="I89" s="2" t="s">
        <v>5334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30" x14ac:dyDescent="0.25">
      <c r="A90" s="2" t="s">
        <v>80</v>
      </c>
      <c r="B90" s="2" t="s">
        <v>5653</v>
      </c>
      <c r="C90" s="2" t="s">
        <v>5654</v>
      </c>
      <c r="D90" s="2" t="s">
        <v>5655</v>
      </c>
      <c r="E90" s="2" t="s">
        <v>919</v>
      </c>
      <c r="F90" s="2" t="s">
        <v>5656</v>
      </c>
      <c r="G90" s="2" t="s">
        <v>5333</v>
      </c>
      <c r="H90" s="2" t="s">
        <v>4954</v>
      </c>
      <c r="I90" s="2" t="s">
        <v>5334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30" x14ac:dyDescent="0.25">
      <c r="A91" s="2" t="s">
        <v>81</v>
      </c>
      <c r="B91" s="2" t="s">
        <v>5657</v>
      </c>
      <c r="C91" s="2" t="s">
        <v>4408</v>
      </c>
      <c r="D91" s="2" t="s">
        <v>5658</v>
      </c>
      <c r="E91" s="2" t="s">
        <v>919</v>
      </c>
      <c r="F91" s="2" t="s">
        <v>5656</v>
      </c>
      <c r="G91" s="2" t="s">
        <v>5333</v>
      </c>
      <c r="H91" s="2" t="s">
        <v>4954</v>
      </c>
      <c r="I91" s="2" t="s">
        <v>5334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30" x14ac:dyDescent="0.25">
      <c r="A92" s="2" t="s">
        <v>82</v>
      </c>
      <c r="B92" s="2" t="s">
        <v>5449</v>
      </c>
      <c r="C92" s="2" t="s">
        <v>4623</v>
      </c>
      <c r="D92" s="2" t="s">
        <v>5659</v>
      </c>
      <c r="E92" s="2" t="s">
        <v>919</v>
      </c>
      <c r="F92" s="2" t="s">
        <v>5639</v>
      </c>
      <c r="G92" s="2" t="s">
        <v>5333</v>
      </c>
      <c r="H92" s="2" t="s">
        <v>5660</v>
      </c>
      <c r="I92" s="2" t="s">
        <v>5334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30" x14ac:dyDescent="0.25">
      <c r="A93" s="2" t="s">
        <v>83</v>
      </c>
      <c r="B93" s="2" t="s">
        <v>5661</v>
      </c>
      <c r="C93" s="2" t="s">
        <v>5662</v>
      </c>
      <c r="D93" s="2" t="s">
        <v>5663</v>
      </c>
      <c r="E93" s="2" t="s">
        <v>919</v>
      </c>
      <c r="F93" s="2" t="s">
        <v>5664</v>
      </c>
      <c r="G93" s="2" t="s">
        <v>5333</v>
      </c>
      <c r="H93" s="2" t="s">
        <v>5665</v>
      </c>
      <c r="I93" s="2" t="s">
        <v>5334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30" x14ac:dyDescent="0.25">
      <c r="A94" s="2" t="s">
        <v>84</v>
      </c>
      <c r="B94" s="2" t="s">
        <v>5666</v>
      </c>
      <c r="C94" s="2" t="s">
        <v>4629</v>
      </c>
      <c r="D94" s="2" t="s">
        <v>5667</v>
      </c>
      <c r="E94" s="2" t="s">
        <v>919</v>
      </c>
      <c r="F94" s="2" t="s">
        <v>5639</v>
      </c>
      <c r="G94" s="2" t="s">
        <v>5333</v>
      </c>
      <c r="H94" s="2" t="s">
        <v>4954</v>
      </c>
      <c r="I94" s="2" t="s">
        <v>5334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30" x14ac:dyDescent="0.25">
      <c r="A95" s="2" t="s">
        <v>85</v>
      </c>
      <c r="B95" s="2" t="s">
        <v>5641</v>
      </c>
      <c r="C95" s="2" t="s">
        <v>4632</v>
      </c>
      <c r="D95" s="2" t="s">
        <v>5668</v>
      </c>
      <c r="E95" s="2" t="s">
        <v>919</v>
      </c>
      <c r="F95" s="2" t="s">
        <v>5639</v>
      </c>
      <c r="G95" s="2" t="s">
        <v>5333</v>
      </c>
      <c r="H95" s="2" t="s">
        <v>4954</v>
      </c>
      <c r="I95" s="2" t="s">
        <v>5334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30" x14ac:dyDescent="0.25">
      <c r="A96" s="2" t="s">
        <v>88</v>
      </c>
      <c r="B96" s="2" t="s">
        <v>5641</v>
      </c>
      <c r="C96" s="2" t="s">
        <v>4641</v>
      </c>
      <c r="D96" s="2" t="s">
        <v>5669</v>
      </c>
      <c r="E96" s="2" t="s">
        <v>919</v>
      </c>
      <c r="F96" s="2" t="s">
        <v>5639</v>
      </c>
      <c r="G96" s="2" t="s">
        <v>5333</v>
      </c>
      <c r="H96" s="2" t="s">
        <v>4954</v>
      </c>
      <c r="I96" s="2" t="s">
        <v>5334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30" x14ac:dyDescent="0.25">
      <c r="A97" s="2" t="s">
        <v>92</v>
      </c>
      <c r="B97" s="2" t="s">
        <v>5641</v>
      </c>
      <c r="C97" s="2" t="s">
        <v>5670</v>
      </c>
      <c r="D97" s="2" t="s">
        <v>5671</v>
      </c>
      <c r="E97" s="2" t="s">
        <v>919</v>
      </c>
      <c r="F97" s="2" t="s">
        <v>5639</v>
      </c>
      <c r="G97" s="2" t="s">
        <v>5333</v>
      </c>
      <c r="H97" s="2" t="s">
        <v>4954</v>
      </c>
      <c r="I97" s="2" t="s">
        <v>5334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30" x14ac:dyDescent="0.25">
      <c r="A98" s="2" t="s">
        <v>93</v>
      </c>
      <c r="B98" s="2" t="s">
        <v>5672</v>
      </c>
      <c r="C98" s="2" t="s">
        <v>777</v>
      </c>
      <c r="D98" s="2" t="s">
        <v>5673</v>
      </c>
      <c r="E98" s="2" t="s">
        <v>919</v>
      </c>
      <c r="F98" s="2" t="s">
        <v>5674</v>
      </c>
      <c r="G98" s="2" t="s">
        <v>5333</v>
      </c>
      <c r="H98" s="2" t="s">
        <v>4954</v>
      </c>
      <c r="I98" s="2" t="s">
        <v>5334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30" x14ac:dyDescent="0.25">
      <c r="A99" s="2" t="s">
        <v>94</v>
      </c>
      <c r="B99" s="2" t="s">
        <v>5556</v>
      </c>
      <c r="C99" s="2" t="s">
        <v>5557</v>
      </c>
      <c r="D99" s="2" t="s">
        <v>5675</v>
      </c>
      <c r="E99" s="2" t="s">
        <v>919</v>
      </c>
      <c r="F99" s="2" t="s">
        <v>5639</v>
      </c>
      <c r="G99" s="2" t="s">
        <v>5333</v>
      </c>
      <c r="H99" s="2" t="s">
        <v>4954</v>
      </c>
      <c r="I99" s="2" t="s">
        <v>5334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30" x14ac:dyDescent="0.25">
      <c r="A100" s="2" t="s">
        <v>95</v>
      </c>
      <c r="B100" s="2" t="s">
        <v>5676</v>
      </c>
      <c r="C100" s="2" t="s">
        <v>1773</v>
      </c>
      <c r="D100" s="2" t="s">
        <v>5677</v>
      </c>
      <c r="E100" s="2" t="s">
        <v>919</v>
      </c>
      <c r="F100" s="2" t="s">
        <v>5639</v>
      </c>
      <c r="G100" s="2" t="s">
        <v>5333</v>
      </c>
      <c r="H100" s="2" t="s">
        <v>5678</v>
      </c>
      <c r="I100" s="2" t="s">
        <v>5334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30" x14ac:dyDescent="0.25">
      <c r="A101" s="2" t="s">
        <v>95</v>
      </c>
      <c r="B101" s="2" t="s">
        <v>5556</v>
      </c>
      <c r="C101" s="2" t="s">
        <v>5610</v>
      </c>
      <c r="D101" s="2" t="s">
        <v>5679</v>
      </c>
      <c r="E101" s="2" t="s">
        <v>919</v>
      </c>
      <c r="F101" s="2" t="s">
        <v>5639</v>
      </c>
      <c r="G101" s="2" t="s">
        <v>5333</v>
      </c>
      <c r="H101" s="2" t="s">
        <v>4954</v>
      </c>
      <c r="I101" s="2" t="s">
        <v>5334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30" x14ac:dyDescent="0.25">
      <c r="A102" s="2" t="s">
        <v>96</v>
      </c>
      <c r="B102" s="2" t="s">
        <v>5641</v>
      </c>
      <c r="C102" s="2" t="s">
        <v>1961</v>
      </c>
      <c r="D102" s="2" t="s">
        <v>5680</v>
      </c>
      <c r="E102" s="2" t="s">
        <v>919</v>
      </c>
      <c r="F102" s="2" t="s">
        <v>5639</v>
      </c>
      <c r="G102" s="2" t="s">
        <v>5333</v>
      </c>
      <c r="H102" s="2" t="s">
        <v>4954</v>
      </c>
      <c r="I102" s="2" t="s">
        <v>5334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30" x14ac:dyDescent="0.25">
      <c r="A103" s="2" t="s">
        <v>98</v>
      </c>
      <c r="B103" s="2" t="s">
        <v>5566</v>
      </c>
      <c r="C103" s="2" t="s">
        <v>5681</v>
      </c>
      <c r="D103" s="2" t="s">
        <v>5682</v>
      </c>
      <c r="E103" s="2" t="s">
        <v>919</v>
      </c>
      <c r="F103" s="2" t="s">
        <v>5674</v>
      </c>
      <c r="G103" s="2" t="s">
        <v>5333</v>
      </c>
      <c r="H103" s="2" t="s">
        <v>4954</v>
      </c>
      <c r="I103" s="2" t="s">
        <v>5334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30" x14ac:dyDescent="0.25">
      <c r="A104" s="2" t="s">
        <v>99</v>
      </c>
      <c r="B104" s="2" t="s">
        <v>5672</v>
      </c>
      <c r="C104" s="2" t="s">
        <v>2417</v>
      </c>
      <c r="D104" s="2" t="s">
        <v>5683</v>
      </c>
      <c r="E104" s="2" t="s">
        <v>919</v>
      </c>
      <c r="F104" s="2" t="s">
        <v>5674</v>
      </c>
      <c r="G104" s="2" t="s">
        <v>5333</v>
      </c>
      <c r="H104" s="2" t="s">
        <v>4954</v>
      </c>
      <c r="I104" s="2" t="s">
        <v>5334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x14ac:dyDescent="0.25">
      <c r="A105" s="2" t="s">
        <v>100</v>
      </c>
      <c r="B105" s="2" t="s">
        <v>5684</v>
      </c>
      <c r="C105" s="2" t="s">
        <v>5685</v>
      </c>
      <c r="D105" s="2" t="s">
        <v>5686</v>
      </c>
      <c r="E105" s="2" t="s">
        <v>919</v>
      </c>
      <c r="F105" s="2" t="s">
        <v>5639</v>
      </c>
      <c r="G105" s="2" t="s">
        <v>5333</v>
      </c>
      <c r="H105" s="2" t="s">
        <v>5687</v>
      </c>
      <c r="I105" s="2" t="s">
        <v>5334</v>
      </c>
    </row>
    <row r="106" spans="1:32" ht="30" x14ac:dyDescent="0.25">
      <c r="A106" s="2" t="s">
        <v>100</v>
      </c>
      <c r="B106" s="2" t="s">
        <v>5688</v>
      </c>
      <c r="C106" s="2" t="s">
        <v>2418</v>
      </c>
      <c r="D106" s="2" t="s">
        <v>5689</v>
      </c>
      <c r="E106" s="2" t="s">
        <v>919</v>
      </c>
      <c r="F106" s="2" t="s">
        <v>5690</v>
      </c>
      <c r="G106" s="2" t="s">
        <v>5333</v>
      </c>
      <c r="H106" s="2" t="s">
        <v>4954</v>
      </c>
      <c r="I106" s="2" t="s">
        <v>5334</v>
      </c>
    </row>
    <row r="107" spans="1:32" ht="30" x14ac:dyDescent="0.25">
      <c r="A107" s="2" t="s">
        <v>100</v>
      </c>
      <c r="B107" s="2" t="s">
        <v>5691</v>
      </c>
      <c r="C107" s="2" t="s">
        <v>2140</v>
      </c>
      <c r="D107" s="2" t="s">
        <v>5692</v>
      </c>
      <c r="E107" s="2" t="s">
        <v>919</v>
      </c>
      <c r="F107" s="2" t="s">
        <v>5693</v>
      </c>
      <c r="G107" s="2" t="s">
        <v>5333</v>
      </c>
      <c r="H107" s="2" t="s">
        <v>5694</v>
      </c>
      <c r="I107" s="2" t="s">
        <v>5334</v>
      </c>
    </row>
    <row r="108" spans="1:32" ht="45" x14ac:dyDescent="0.25">
      <c r="A108" s="2" t="s">
        <v>100</v>
      </c>
      <c r="B108" s="2" t="s">
        <v>5695</v>
      </c>
      <c r="C108" s="2" t="s">
        <v>3514</v>
      </c>
      <c r="D108" s="2" t="s">
        <v>5696</v>
      </c>
      <c r="E108" s="2" t="s">
        <v>919</v>
      </c>
      <c r="F108" s="2" t="s">
        <v>5693</v>
      </c>
      <c r="G108" s="2" t="s">
        <v>5333</v>
      </c>
      <c r="H108" s="2" t="s">
        <v>5697</v>
      </c>
      <c r="I108" s="2" t="s">
        <v>5334</v>
      </c>
    </row>
    <row r="109" spans="1:32" ht="30" x14ac:dyDescent="0.25">
      <c r="A109" s="2" t="s">
        <v>100</v>
      </c>
      <c r="B109" s="2" t="s">
        <v>5698</v>
      </c>
      <c r="C109" s="2" t="s">
        <v>1963</v>
      </c>
      <c r="D109" s="2" t="s">
        <v>5699</v>
      </c>
      <c r="E109" s="2" t="s">
        <v>919</v>
      </c>
      <c r="F109" s="2" t="s">
        <v>5693</v>
      </c>
      <c r="G109" s="2" t="s">
        <v>5333</v>
      </c>
      <c r="H109" s="2" t="s">
        <v>5700</v>
      </c>
      <c r="I109" s="2" t="s">
        <v>5334</v>
      </c>
    </row>
    <row r="110" spans="1:32" ht="30" x14ac:dyDescent="0.25">
      <c r="A110" s="2" t="s">
        <v>100</v>
      </c>
      <c r="B110" s="2" t="s">
        <v>5701</v>
      </c>
      <c r="C110" s="2" t="s">
        <v>2865</v>
      </c>
      <c r="D110" s="2" t="s">
        <v>5702</v>
      </c>
      <c r="E110" s="2" t="s">
        <v>919</v>
      </c>
      <c r="F110" s="2" t="s">
        <v>5693</v>
      </c>
      <c r="G110" s="2" t="s">
        <v>5333</v>
      </c>
      <c r="H110" s="2" t="s">
        <v>5703</v>
      </c>
      <c r="I110" s="2" t="s">
        <v>5334</v>
      </c>
    </row>
    <row r="111" spans="1:32" ht="30" x14ac:dyDescent="0.25">
      <c r="A111" s="2" t="s">
        <v>100</v>
      </c>
      <c r="B111" s="2" t="s">
        <v>5704</v>
      </c>
      <c r="C111" s="2" t="s">
        <v>4148</v>
      </c>
      <c r="D111" s="2" t="s">
        <v>5705</v>
      </c>
      <c r="E111" s="2" t="s">
        <v>919</v>
      </c>
      <c r="F111" s="2" t="s">
        <v>5693</v>
      </c>
      <c r="G111" s="2" t="s">
        <v>5333</v>
      </c>
      <c r="H111" s="2" t="s">
        <v>5706</v>
      </c>
      <c r="I111" s="2" t="s">
        <v>5334</v>
      </c>
    </row>
    <row r="112" spans="1:32" ht="30" x14ac:dyDescent="0.25">
      <c r="A112" s="2" t="s">
        <v>100</v>
      </c>
      <c r="B112" s="2" t="s">
        <v>5707</v>
      </c>
      <c r="C112" s="2" t="s">
        <v>3705</v>
      </c>
      <c r="D112" s="2" t="s">
        <v>5708</v>
      </c>
      <c r="E112" s="2" t="s">
        <v>919</v>
      </c>
      <c r="F112" s="2" t="s">
        <v>5693</v>
      </c>
      <c r="G112" s="2" t="s">
        <v>5333</v>
      </c>
      <c r="H112" s="2" t="s">
        <v>5709</v>
      </c>
      <c r="I112" s="2" t="s">
        <v>5334</v>
      </c>
    </row>
    <row r="113" spans="1:9" ht="30" x14ac:dyDescent="0.25">
      <c r="A113" s="2" t="s">
        <v>100</v>
      </c>
      <c r="B113" s="2" t="s">
        <v>5710</v>
      </c>
      <c r="C113" s="2" t="s">
        <v>5711</v>
      </c>
      <c r="D113" s="2" t="s">
        <v>5712</v>
      </c>
      <c r="E113" s="2" t="s">
        <v>919</v>
      </c>
      <c r="F113" s="2" t="s">
        <v>5693</v>
      </c>
      <c r="G113" s="2" t="s">
        <v>5333</v>
      </c>
      <c r="H113" s="2" t="s">
        <v>36</v>
      </c>
      <c r="I113" s="2" t="s">
        <v>5334</v>
      </c>
    </row>
    <row r="114" spans="1:9" ht="75" x14ac:dyDescent="0.25">
      <c r="A114" s="2" t="s">
        <v>100</v>
      </c>
      <c r="B114" s="2" t="s">
        <v>5713</v>
      </c>
      <c r="C114" s="2" t="s">
        <v>5685</v>
      </c>
      <c r="D114" s="2" t="s">
        <v>5714</v>
      </c>
      <c r="E114" s="2" t="s">
        <v>919</v>
      </c>
      <c r="F114" s="2" t="s">
        <v>5715</v>
      </c>
      <c r="G114" s="2" t="s">
        <v>5333</v>
      </c>
      <c r="H114" s="2" t="s">
        <v>4954</v>
      </c>
      <c r="I114" s="2" t="s">
        <v>5334</v>
      </c>
    </row>
  </sheetData>
  <mergeCells count="1">
    <mergeCell ref="A1:AF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8" customWidth="1"/>
    <col min="2" max="2" width="20" customWidth="1"/>
    <col min="3" max="3" width="58" customWidth="1"/>
    <col min="4" max="4" width="24" customWidth="1"/>
    <col min="5" max="5" width="22" customWidth="1"/>
    <col min="6" max="6" width="24" customWidth="1"/>
    <col min="7" max="7" width="62" customWidth="1"/>
    <col min="8" max="8" width="16" customWidth="1"/>
  </cols>
  <sheetData>
    <row r="1" spans="1:8" ht="27.95" customHeight="1" x14ac:dyDescent="0.3">
      <c r="A1" s="28" t="str">
        <f>IFERROR(HYPERLINK("#'Sheet Directory'!A1","Website Links — categorized by source-page language (English default)"),"Website Links — categorized by source-page language (English default)")</f>
        <v>Website Links — categorized by source-page language (English default)</v>
      </c>
      <c r="B1" s="28"/>
      <c r="C1" s="28"/>
      <c r="D1" s="28"/>
      <c r="E1" s="28"/>
      <c r="F1" s="28"/>
      <c r="G1" s="28"/>
      <c r="H1" s="28"/>
    </row>
    <row r="2" spans="1:8" ht="27.95" customHeight="1" x14ac:dyDescent="0.25">
      <c r="A2" s="1" t="s">
        <v>4426</v>
      </c>
      <c r="B2" s="1" t="s">
        <v>5327</v>
      </c>
      <c r="C2" s="1" t="s">
        <v>5447</v>
      </c>
      <c r="D2" s="1" t="s">
        <v>5716</v>
      </c>
      <c r="E2" s="1" t="s">
        <v>5322</v>
      </c>
      <c r="F2" s="1" t="s">
        <v>4429</v>
      </c>
      <c r="G2" s="1" t="s">
        <v>4440</v>
      </c>
      <c r="H2" s="1" t="s">
        <v>4439</v>
      </c>
    </row>
    <row r="3" spans="1:8" ht="23.1" customHeight="1" x14ac:dyDescent="0.25">
      <c r="A3" s="21" t="s">
        <v>5334</v>
      </c>
      <c r="B3" s="21"/>
      <c r="C3" s="21"/>
      <c r="D3" s="21"/>
      <c r="E3" s="21"/>
      <c r="F3" s="21"/>
      <c r="G3" s="21"/>
      <c r="H3" s="21"/>
    </row>
    <row r="4" spans="1:8" x14ac:dyDescent="0.25">
      <c r="A4" s="2" t="s">
        <v>92</v>
      </c>
      <c r="B4" s="2" t="s">
        <v>5334</v>
      </c>
      <c r="C4" s="2" t="s">
        <v>5670</v>
      </c>
      <c r="D4" s="2" t="s">
        <v>5684</v>
      </c>
      <c r="E4" s="2" t="s">
        <v>5526</v>
      </c>
      <c r="F4" s="2" t="s">
        <v>5717</v>
      </c>
      <c r="G4" s="2" t="s">
        <v>5718</v>
      </c>
      <c r="H4" s="2" t="s">
        <v>919</v>
      </c>
    </row>
    <row r="5" spans="1:8" x14ac:dyDescent="0.25">
      <c r="A5" s="2" t="s">
        <v>94</v>
      </c>
      <c r="B5" s="2" t="s">
        <v>5334</v>
      </c>
      <c r="C5" s="2" t="s">
        <v>5557</v>
      </c>
      <c r="D5" s="2" t="s">
        <v>5556</v>
      </c>
      <c r="E5" s="2" t="s">
        <v>5526</v>
      </c>
      <c r="F5" s="2" t="s">
        <v>5717</v>
      </c>
      <c r="G5" s="2" t="s">
        <v>5719</v>
      </c>
      <c r="H5" s="2" t="s">
        <v>919</v>
      </c>
    </row>
    <row r="6" spans="1:8" x14ac:dyDescent="0.25">
      <c r="A6" s="2" t="s">
        <v>70</v>
      </c>
      <c r="B6" s="2" t="s">
        <v>5334</v>
      </c>
      <c r="C6" s="2" t="s">
        <v>5720</v>
      </c>
      <c r="D6" s="2" t="s">
        <v>5684</v>
      </c>
      <c r="E6" s="2" t="s">
        <v>5526</v>
      </c>
      <c r="F6" s="2" t="s">
        <v>5717</v>
      </c>
      <c r="G6" s="2" t="s">
        <v>5721</v>
      </c>
      <c r="H6" s="2" t="s">
        <v>919</v>
      </c>
    </row>
    <row r="7" spans="1:8" x14ac:dyDescent="0.25">
      <c r="A7" s="2" t="s">
        <v>97</v>
      </c>
      <c r="B7" s="2" t="s">
        <v>5334</v>
      </c>
      <c r="C7" s="2" t="s">
        <v>4686</v>
      </c>
      <c r="D7" s="2" t="s">
        <v>5684</v>
      </c>
      <c r="E7" s="2" t="s">
        <v>5526</v>
      </c>
      <c r="F7" s="2" t="s">
        <v>5717</v>
      </c>
      <c r="G7" s="2" t="s">
        <v>5722</v>
      </c>
      <c r="H7" s="2" t="s">
        <v>919</v>
      </c>
    </row>
    <row r="8" spans="1:8" x14ac:dyDescent="0.25">
      <c r="A8" s="2" t="s">
        <v>72</v>
      </c>
      <c r="B8" s="2" t="s">
        <v>5334</v>
      </c>
      <c r="C8" s="2" t="s">
        <v>5462</v>
      </c>
      <c r="D8" s="2" t="s">
        <v>5684</v>
      </c>
      <c r="E8" s="2" t="s">
        <v>5526</v>
      </c>
      <c r="F8" s="2" t="s">
        <v>5717</v>
      </c>
      <c r="G8" s="2" t="s">
        <v>5721</v>
      </c>
      <c r="H8" s="2" t="s">
        <v>919</v>
      </c>
    </row>
    <row r="9" spans="1:8" x14ac:dyDescent="0.25">
      <c r="A9" s="2" t="s">
        <v>73</v>
      </c>
      <c r="B9" s="2" t="s">
        <v>5334</v>
      </c>
      <c r="C9" s="2" t="s">
        <v>5723</v>
      </c>
      <c r="D9" s="2" t="s">
        <v>5684</v>
      </c>
      <c r="E9" s="2" t="s">
        <v>5526</v>
      </c>
      <c r="F9" s="2" t="s">
        <v>5717</v>
      </c>
      <c r="G9" s="2" t="s">
        <v>5721</v>
      </c>
      <c r="H9" s="2" t="s">
        <v>919</v>
      </c>
    </row>
    <row r="10" spans="1:8" x14ac:dyDescent="0.25">
      <c r="A10" s="2" t="s">
        <v>82</v>
      </c>
      <c r="B10" s="2" t="s">
        <v>5334</v>
      </c>
      <c r="C10" s="2" t="s">
        <v>1772</v>
      </c>
      <c r="D10" s="2" t="s">
        <v>5684</v>
      </c>
      <c r="E10" s="2" t="s">
        <v>5526</v>
      </c>
      <c r="F10" s="2" t="s">
        <v>5717</v>
      </c>
      <c r="G10" s="2" t="s">
        <v>5722</v>
      </c>
      <c r="H10" s="2" t="s">
        <v>919</v>
      </c>
    </row>
    <row r="11" spans="1:8" x14ac:dyDescent="0.25">
      <c r="A11" s="2" t="s">
        <v>90</v>
      </c>
      <c r="B11" s="2" t="s">
        <v>5334</v>
      </c>
      <c r="C11" s="2" t="s">
        <v>5548</v>
      </c>
      <c r="D11" s="2" t="s">
        <v>5724</v>
      </c>
      <c r="E11" s="2" t="s">
        <v>5725</v>
      </c>
      <c r="F11" s="2" t="s">
        <v>5664</v>
      </c>
      <c r="G11" s="2" t="s">
        <v>5726</v>
      </c>
      <c r="H11" s="2" t="s">
        <v>919</v>
      </c>
    </row>
    <row r="12" spans="1:8" x14ac:dyDescent="0.25">
      <c r="A12" s="2" t="s">
        <v>93</v>
      </c>
      <c r="B12" s="2" t="s">
        <v>5334</v>
      </c>
      <c r="C12" s="2" t="s">
        <v>777</v>
      </c>
      <c r="D12" s="2" t="s">
        <v>5674</v>
      </c>
      <c r="E12" s="2" t="s">
        <v>5526</v>
      </c>
      <c r="F12" s="2" t="s">
        <v>5664</v>
      </c>
      <c r="G12" s="2" t="s">
        <v>5727</v>
      </c>
      <c r="H12" s="2" t="s">
        <v>919</v>
      </c>
    </row>
    <row r="13" spans="1:8" x14ac:dyDescent="0.25">
      <c r="A13" s="2" t="s">
        <v>100</v>
      </c>
      <c r="B13" s="2" t="s">
        <v>5334</v>
      </c>
      <c r="C13" s="2" t="s">
        <v>5685</v>
      </c>
      <c r="D13" s="2" t="s">
        <v>5684</v>
      </c>
      <c r="E13" s="2" t="s">
        <v>5526</v>
      </c>
      <c r="F13" s="2" t="s">
        <v>5717</v>
      </c>
      <c r="G13" s="2" t="s">
        <v>5728</v>
      </c>
      <c r="H13" s="2" t="s">
        <v>919</v>
      </c>
    </row>
    <row r="14" spans="1:8" x14ac:dyDescent="0.25">
      <c r="A14" s="2" t="s">
        <v>100</v>
      </c>
      <c r="B14" s="2" t="s">
        <v>5334</v>
      </c>
      <c r="C14" s="2" t="s">
        <v>2418</v>
      </c>
      <c r="D14" s="2" t="s">
        <v>5674</v>
      </c>
      <c r="E14" s="2" t="s">
        <v>5729</v>
      </c>
      <c r="F14" s="2" t="s">
        <v>5717</v>
      </c>
      <c r="G14" s="2" t="s">
        <v>5730</v>
      </c>
      <c r="H14" s="2" t="s">
        <v>919</v>
      </c>
    </row>
    <row r="15" spans="1:8" x14ac:dyDescent="0.25">
      <c r="A15" s="2" t="s">
        <v>88</v>
      </c>
      <c r="B15" s="2" t="s">
        <v>5334</v>
      </c>
      <c r="C15" s="2" t="s">
        <v>4641</v>
      </c>
      <c r="D15" s="2" t="s">
        <v>5684</v>
      </c>
      <c r="E15" s="2" t="s">
        <v>5526</v>
      </c>
      <c r="F15" s="2" t="s">
        <v>5717</v>
      </c>
      <c r="G15" s="2" t="s">
        <v>5722</v>
      </c>
      <c r="H15" s="2" t="s">
        <v>919</v>
      </c>
    </row>
    <row r="16" spans="1:8" x14ac:dyDescent="0.25">
      <c r="A16" s="2" t="s">
        <v>85</v>
      </c>
      <c r="B16" s="2" t="s">
        <v>5334</v>
      </c>
      <c r="C16" s="2" t="s">
        <v>4632</v>
      </c>
      <c r="D16" s="2" t="s">
        <v>5684</v>
      </c>
      <c r="E16" s="2" t="s">
        <v>5526</v>
      </c>
      <c r="F16" s="2" t="s">
        <v>5717</v>
      </c>
      <c r="G16" s="2" t="s">
        <v>5722</v>
      </c>
      <c r="H16" s="2" t="s">
        <v>919</v>
      </c>
    </row>
    <row r="17" spans="1:8" x14ac:dyDescent="0.25">
      <c r="A17" s="2" t="s">
        <v>75</v>
      </c>
      <c r="B17" s="2" t="s">
        <v>5334</v>
      </c>
      <c r="C17" s="2" t="s">
        <v>4495</v>
      </c>
      <c r="D17" s="2" t="s">
        <v>5684</v>
      </c>
      <c r="E17" s="2" t="s">
        <v>5731</v>
      </c>
      <c r="F17" s="2" t="s">
        <v>5717</v>
      </c>
      <c r="G17" s="2" t="s">
        <v>5732</v>
      </c>
      <c r="H17" s="2" t="s">
        <v>919</v>
      </c>
    </row>
    <row r="18" spans="1:8" x14ac:dyDescent="0.25">
      <c r="A18" s="2" t="s">
        <v>80</v>
      </c>
      <c r="B18" s="2" t="s">
        <v>5334</v>
      </c>
      <c r="C18" s="2" t="s">
        <v>5733</v>
      </c>
      <c r="D18" s="2" t="s">
        <v>5684</v>
      </c>
      <c r="E18" s="2" t="s">
        <v>5526</v>
      </c>
      <c r="F18" s="2" t="s">
        <v>5717</v>
      </c>
      <c r="G18" s="2" t="s">
        <v>5722</v>
      </c>
      <c r="H18" s="2" t="s">
        <v>919</v>
      </c>
    </row>
    <row r="19" spans="1:8" x14ac:dyDescent="0.25">
      <c r="A19" s="2" t="s">
        <v>87</v>
      </c>
      <c r="B19" s="2" t="s">
        <v>5334</v>
      </c>
      <c r="C19" s="2" t="s">
        <v>1629</v>
      </c>
      <c r="D19" s="2" t="s">
        <v>5734</v>
      </c>
      <c r="E19" s="2" t="s">
        <v>5526</v>
      </c>
      <c r="F19" s="2" t="s">
        <v>5717</v>
      </c>
      <c r="G19" s="2" t="s">
        <v>5735</v>
      </c>
      <c r="H19" s="2" t="s">
        <v>919</v>
      </c>
    </row>
    <row r="20" spans="1:8" x14ac:dyDescent="0.25">
      <c r="A20" s="2" t="s">
        <v>77</v>
      </c>
      <c r="B20" s="2" t="s">
        <v>5334</v>
      </c>
      <c r="C20" s="2" t="s">
        <v>765</v>
      </c>
      <c r="D20" s="2" t="s">
        <v>5684</v>
      </c>
      <c r="E20" s="2" t="s">
        <v>5526</v>
      </c>
      <c r="F20" s="2" t="s">
        <v>5717</v>
      </c>
      <c r="G20" s="2" t="s">
        <v>5736</v>
      </c>
      <c r="H20" s="2" t="s">
        <v>919</v>
      </c>
    </row>
    <row r="21" spans="1:8" x14ac:dyDescent="0.25">
      <c r="A21" s="2" t="s">
        <v>83</v>
      </c>
      <c r="B21" s="2" t="s">
        <v>5334</v>
      </c>
      <c r="C21" s="2" t="s">
        <v>771</v>
      </c>
      <c r="D21" s="2" t="s">
        <v>5684</v>
      </c>
      <c r="E21" s="2" t="s">
        <v>5526</v>
      </c>
      <c r="F21" s="2" t="s">
        <v>5717</v>
      </c>
      <c r="G21" s="2" t="s">
        <v>5737</v>
      </c>
      <c r="H21" s="2" t="s">
        <v>919</v>
      </c>
    </row>
    <row r="22" spans="1:8" x14ac:dyDescent="0.25">
      <c r="A22" s="2" t="s">
        <v>84</v>
      </c>
      <c r="B22" s="2" t="s">
        <v>5334</v>
      </c>
      <c r="C22" s="2" t="s">
        <v>4629</v>
      </c>
      <c r="D22" s="2" t="s">
        <v>5684</v>
      </c>
      <c r="E22" s="2" t="s">
        <v>5526</v>
      </c>
      <c r="F22" s="2" t="s">
        <v>5717</v>
      </c>
      <c r="G22" s="2" t="s">
        <v>5722</v>
      </c>
      <c r="H22" s="2" t="s">
        <v>919</v>
      </c>
    </row>
    <row r="23" spans="1:8" x14ac:dyDescent="0.25">
      <c r="A23" s="2" t="s">
        <v>96</v>
      </c>
      <c r="B23" s="2" t="s">
        <v>5334</v>
      </c>
      <c r="C23" s="2" t="s">
        <v>1961</v>
      </c>
      <c r="D23" s="2" t="s">
        <v>5684</v>
      </c>
      <c r="E23" s="2" t="s">
        <v>5526</v>
      </c>
      <c r="F23" s="2" t="s">
        <v>5717</v>
      </c>
      <c r="G23" s="2" t="s">
        <v>5738</v>
      </c>
      <c r="H23" s="2" t="s">
        <v>919</v>
      </c>
    </row>
    <row r="24" spans="1:8" x14ac:dyDescent="0.25">
      <c r="A24" s="2" t="s">
        <v>95</v>
      </c>
      <c r="B24" s="2" t="s">
        <v>5334</v>
      </c>
      <c r="C24" s="2" t="s">
        <v>5562</v>
      </c>
      <c r="D24" s="2" t="s">
        <v>5684</v>
      </c>
      <c r="E24" s="2" t="s">
        <v>5526</v>
      </c>
      <c r="F24" s="2" t="s">
        <v>5717</v>
      </c>
      <c r="G24" s="2" t="s">
        <v>5739</v>
      </c>
      <c r="H24" s="2" t="s">
        <v>919</v>
      </c>
    </row>
    <row r="25" spans="1:8" x14ac:dyDescent="0.25">
      <c r="A25" s="2" t="s">
        <v>81</v>
      </c>
      <c r="B25" s="2" t="s">
        <v>5334</v>
      </c>
      <c r="C25" s="2" t="s">
        <v>5740</v>
      </c>
      <c r="D25" s="2" t="s">
        <v>5684</v>
      </c>
      <c r="E25" s="2" t="s">
        <v>5526</v>
      </c>
      <c r="F25" s="2" t="s">
        <v>5717</v>
      </c>
      <c r="G25" s="2" t="s">
        <v>5722</v>
      </c>
      <c r="H25" s="2" t="s">
        <v>919</v>
      </c>
    </row>
    <row r="26" spans="1:8" x14ac:dyDescent="0.25">
      <c r="A26" s="2" t="s">
        <v>91</v>
      </c>
      <c r="B26" s="2" t="s">
        <v>5334</v>
      </c>
      <c r="C26" s="2" t="s">
        <v>2413</v>
      </c>
      <c r="D26" s="2" t="s">
        <v>5674</v>
      </c>
      <c r="E26" s="2" t="s">
        <v>5526</v>
      </c>
      <c r="F26" s="2" t="s">
        <v>5664</v>
      </c>
      <c r="G26" s="2" t="s">
        <v>5741</v>
      </c>
      <c r="H26" s="2" t="s">
        <v>919</v>
      </c>
    </row>
    <row r="27" spans="1:8" x14ac:dyDescent="0.25">
      <c r="A27" s="2" t="s">
        <v>74</v>
      </c>
      <c r="B27" s="2" t="s">
        <v>5334</v>
      </c>
      <c r="C27" s="2" t="s">
        <v>5742</v>
      </c>
      <c r="D27" s="2" t="s">
        <v>5684</v>
      </c>
      <c r="E27" s="2" t="s">
        <v>5526</v>
      </c>
      <c r="F27" s="2" t="s">
        <v>5717</v>
      </c>
      <c r="G27" s="2" t="s">
        <v>5721</v>
      </c>
      <c r="H27" s="2" t="s">
        <v>919</v>
      </c>
    </row>
    <row r="28" spans="1:8" x14ac:dyDescent="0.25">
      <c r="A28" s="2" t="s">
        <v>76</v>
      </c>
      <c r="B28" s="2" t="s">
        <v>5334</v>
      </c>
      <c r="C28" s="2" t="s">
        <v>5500</v>
      </c>
      <c r="D28" s="2" t="s">
        <v>5734</v>
      </c>
      <c r="E28" s="2" t="s">
        <v>5729</v>
      </c>
      <c r="F28" s="2" t="s">
        <v>5717</v>
      </c>
      <c r="G28" s="2" t="s">
        <v>5743</v>
      </c>
      <c r="H28" s="2" t="s">
        <v>919</v>
      </c>
    </row>
    <row r="29" spans="1:8" x14ac:dyDescent="0.25">
      <c r="A29" s="2" t="s">
        <v>71</v>
      </c>
      <c r="B29" s="2" t="s">
        <v>5334</v>
      </c>
      <c r="C29" s="2" t="s">
        <v>4472</v>
      </c>
      <c r="D29" s="2" t="s">
        <v>5684</v>
      </c>
      <c r="E29" s="2" t="s">
        <v>5526</v>
      </c>
      <c r="F29" s="2" t="s">
        <v>5717</v>
      </c>
      <c r="G29" s="2" t="s">
        <v>5721</v>
      </c>
      <c r="H29" s="2" t="s">
        <v>919</v>
      </c>
    </row>
    <row r="30" spans="1:8" x14ac:dyDescent="0.25">
      <c r="A30" s="2" t="s">
        <v>78</v>
      </c>
      <c r="B30" s="2" t="s">
        <v>5334</v>
      </c>
      <c r="C30" s="2" t="s">
        <v>5510</v>
      </c>
      <c r="D30" s="2" t="s">
        <v>5684</v>
      </c>
      <c r="E30" s="2" t="s">
        <v>5526</v>
      </c>
      <c r="F30" s="2" t="s">
        <v>5717</v>
      </c>
      <c r="G30" s="2" t="s">
        <v>5722</v>
      </c>
      <c r="H30" s="2" t="s">
        <v>919</v>
      </c>
    </row>
    <row r="31" spans="1:8" x14ac:dyDescent="0.25">
      <c r="A31" s="2" t="s">
        <v>98</v>
      </c>
      <c r="B31" s="2" t="s">
        <v>5334</v>
      </c>
      <c r="C31" s="2" t="s">
        <v>5744</v>
      </c>
      <c r="D31" s="2" t="s">
        <v>5684</v>
      </c>
      <c r="E31" s="2" t="s">
        <v>5526</v>
      </c>
      <c r="F31" s="2" t="s">
        <v>5717</v>
      </c>
      <c r="G31" s="2" t="s">
        <v>5745</v>
      </c>
      <c r="H31" s="2" t="s">
        <v>919</v>
      </c>
    </row>
    <row r="32" spans="1:8" ht="30" x14ac:dyDescent="0.25">
      <c r="A32" s="2" t="s">
        <v>86</v>
      </c>
      <c r="B32" s="2" t="s">
        <v>5334</v>
      </c>
      <c r="C32" s="2" t="s">
        <v>5536</v>
      </c>
      <c r="D32" s="2" t="s">
        <v>5535</v>
      </c>
      <c r="E32" s="2" t="s">
        <v>5729</v>
      </c>
      <c r="F32" s="2" t="s">
        <v>5746</v>
      </c>
      <c r="G32" s="2" t="s">
        <v>5747</v>
      </c>
      <c r="H32" s="2" t="s">
        <v>919</v>
      </c>
    </row>
    <row r="33" spans="1:8" x14ac:dyDescent="0.25">
      <c r="A33" s="2" t="s">
        <v>99</v>
      </c>
      <c r="B33" s="2" t="s">
        <v>5334</v>
      </c>
      <c r="C33" s="2" t="s">
        <v>5748</v>
      </c>
      <c r="D33" s="2" t="s">
        <v>5684</v>
      </c>
      <c r="E33" s="2" t="s">
        <v>5526</v>
      </c>
      <c r="F33" s="2" t="s">
        <v>5717</v>
      </c>
      <c r="G33" s="2" t="s">
        <v>5722</v>
      </c>
      <c r="H33" s="2" t="s">
        <v>919</v>
      </c>
    </row>
    <row r="34" spans="1:8" ht="23.1" customHeight="1" x14ac:dyDescent="0.25">
      <c r="A34" s="3" t="s">
        <v>89</v>
      </c>
      <c r="B34" s="3" t="s">
        <v>5334</v>
      </c>
      <c r="C34" s="3" t="s">
        <v>5543</v>
      </c>
      <c r="D34" s="3" t="s">
        <v>5684</v>
      </c>
      <c r="E34" s="3" t="s">
        <v>5526</v>
      </c>
      <c r="F34" s="3" t="s">
        <v>5717</v>
      </c>
      <c r="G34" s="3" t="s">
        <v>5722</v>
      </c>
      <c r="H34" s="3" t="s">
        <v>919</v>
      </c>
    </row>
    <row r="35" spans="1:8" x14ac:dyDescent="0.25">
      <c r="A35" s="2" t="s">
        <v>79</v>
      </c>
      <c r="B35" s="2" t="s">
        <v>5334</v>
      </c>
      <c r="C35" s="2" t="s">
        <v>5749</v>
      </c>
      <c r="D35" s="2" t="s">
        <v>5684</v>
      </c>
      <c r="E35" s="2" t="s">
        <v>5526</v>
      </c>
      <c r="F35" s="2" t="s">
        <v>5717</v>
      </c>
      <c r="G35" s="2" t="s">
        <v>5722</v>
      </c>
      <c r="H35" s="2" t="s">
        <v>919</v>
      </c>
    </row>
    <row r="36" spans="1:8" ht="23.1" customHeight="1" x14ac:dyDescent="0.25">
      <c r="A36" s="21" t="s">
        <v>5750</v>
      </c>
      <c r="B36" s="21"/>
      <c r="C36" s="21"/>
      <c r="D36" s="21"/>
      <c r="E36" s="21"/>
      <c r="F36" s="21"/>
      <c r="G36" s="21"/>
      <c r="H36" s="21"/>
    </row>
    <row r="37" spans="1:8" ht="23.1" customHeight="1" x14ac:dyDescent="0.25">
      <c r="A37" s="3" t="s">
        <v>82</v>
      </c>
      <c r="B37" s="3" t="s">
        <v>5750</v>
      </c>
      <c r="C37" s="3" t="s">
        <v>5751</v>
      </c>
      <c r="D37" s="3" t="s">
        <v>5752</v>
      </c>
      <c r="E37" s="3" t="s">
        <v>5526</v>
      </c>
      <c r="F37" s="3" t="s">
        <v>5717</v>
      </c>
      <c r="G37" s="3" t="s">
        <v>5753</v>
      </c>
      <c r="H37" s="3" t="s">
        <v>919</v>
      </c>
    </row>
    <row r="38" spans="1:8" x14ac:dyDescent="0.25">
      <c r="A38" s="2" t="s">
        <v>95</v>
      </c>
      <c r="B38" s="2" t="s">
        <v>5750</v>
      </c>
      <c r="C38" s="2" t="s">
        <v>1630</v>
      </c>
      <c r="D38" s="2" t="s">
        <v>5754</v>
      </c>
      <c r="E38" s="2" t="s">
        <v>5755</v>
      </c>
      <c r="F38" s="2" t="s">
        <v>5717</v>
      </c>
      <c r="G38" s="2" t="s">
        <v>5756</v>
      </c>
      <c r="H38" s="2" t="s">
        <v>919</v>
      </c>
    </row>
    <row r="39" spans="1:8" ht="23.1" customHeight="1" x14ac:dyDescent="0.25">
      <c r="A39" s="21" t="s">
        <v>5757</v>
      </c>
      <c r="B39" s="21"/>
      <c r="C39" s="21"/>
      <c r="D39" s="21"/>
      <c r="E39" s="21"/>
      <c r="F39" s="21"/>
      <c r="G39" s="21"/>
      <c r="H39" s="21"/>
    </row>
    <row r="40" spans="1:8" x14ac:dyDescent="0.25">
      <c r="A40" s="2" t="s">
        <v>82</v>
      </c>
      <c r="B40" s="2" t="s">
        <v>5757</v>
      </c>
      <c r="C40" s="2" t="s">
        <v>5758</v>
      </c>
      <c r="D40" s="2" t="s">
        <v>5752</v>
      </c>
      <c r="E40" s="2" t="s">
        <v>5526</v>
      </c>
      <c r="F40" s="2" t="s">
        <v>5717</v>
      </c>
      <c r="G40" s="2" t="s">
        <v>5759</v>
      </c>
      <c r="H40" s="2" t="s">
        <v>919</v>
      </c>
    </row>
    <row r="41" spans="1:8" ht="23.1" customHeight="1" x14ac:dyDescent="0.25">
      <c r="A41" s="21" t="s">
        <v>5760</v>
      </c>
      <c r="B41" s="21"/>
      <c r="C41" s="21"/>
      <c r="D41" s="21"/>
      <c r="E41" s="21"/>
      <c r="F41" s="21"/>
      <c r="G41" s="21"/>
      <c r="H41" s="21"/>
    </row>
    <row r="42" spans="1:8" x14ac:dyDescent="0.25">
      <c r="A42" s="2" t="s">
        <v>82</v>
      </c>
      <c r="B42" s="2" t="s">
        <v>5760</v>
      </c>
      <c r="C42" s="2" t="s">
        <v>5761</v>
      </c>
      <c r="D42" s="2" t="s">
        <v>5752</v>
      </c>
      <c r="E42" s="2" t="s">
        <v>5526</v>
      </c>
      <c r="F42" s="2" t="s">
        <v>5717</v>
      </c>
      <c r="G42" s="2" t="s">
        <v>5762</v>
      </c>
      <c r="H42" s="2" t="s">
        <v>919</v>
      </c>
    </row>
    <row r="43" spans="1:8" ht="23.1" customHeight="1" x14ac:dyDescent="0.25">
      <c r="A43" s="21" t="s">
        <v>5763</v>
      </c>
      <c r="B43" s="21"/>
      <c r="C43" s="21"/>
      <c r="D43" s="21"/>
      <c r="E43" s="21"/>
      <c r="F43" s="21"/>
      <c r="G43" s="21"/>
      <c r="H43" s="21"/>
    </row>
    <row r="44" spans="1:8" x14ac:dyDescent="0.25">
      <c r="A44" s="2" t="s">
        <v>82</v>
      </c>
      <c r="B44" s="2" t="s">
        <v>5763</v>
      </c>
      <c r="C44" s="2" t="s">
        <v>5764</v>
      </c>
      <c r="D44" s="2" t="s">
        <v>5752</v>
      </c>
      <c r="E44" s="2" t="s">
        <v>5526</v>
      </c>
      <c r="F44" s="2" t="s">
        <v>5717</v>
      </c>
      <c r="G44" s="2" t="s">
        <v>5765</v>
      </c>
      <c r="H44" s="2" t="s">
        <v>919</v>
      </c>
    </row>
    <row r="45" spans="1:8" x14ac:dyDescent="0.25">
      <c r="A45" s="2" t="s">
        <v>95</v>
      </c>
      <c r="B45" s="2" t="s">
        <v>5763</v>
      </c>
      <c r="C45" s="2" t="s">
        <v>5766</v>
      </c>
      <c r="D45" s="2" t="s">
        <v>5752</v>
      </c>
      <c r="E45" s="2" t="s">
        <v>5526</v>
      </c>
      <c r="F45" s="2" t="s">
        <v>5717</v>
      </c>
      <c r="G45" s="2" t="s">
        <v>5767</v>
      </c>
      <c r="H45" s="2" t="s">
        <v>919</v>
      </c>
    </row>
  </sheetData>
  <mergeCells count="1">
    <mergeCell ref="A1:H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8" customWidth="1"/>
    <col min="2" max="3" width="16" customWidth="1"/>
    <col min="4" max="4" width="18" customWidth="1"/>
    <col min="5" max="5" width="14" customWidth="1"/>
    <col min="6" max="6" width="34" customWidth="1"/>
    <col min="7" max="7" width="68" customWidth="1"/>
  </cols>
  <sheetData>
    <row r="1" spans="1:7" ht="27.95" customHeight="1" x14ac:dyDescent="0.3">
      <c r="A1" s="28" t="str">
        <f>IFERROR(HYPERLINK("#'Sheet Directory'!A1","Verification Coverage — first-party website/docs pass"),"Verification Coverage — first-party website/docs pass")</f>
        <v>Verification Coverage — first-party website/docs pass</v>
      </c>
      <c r="B1" s="28"/>
      <c r="C1" s="28"/>
      <c r="D1" s="28"/>
      <c r="E1" s="28"/>
      <c r="F1" s="28"/>
      <c r="G1" s="28"/>
    </row>
    <row r="2" spans="1:7" ht="30" customHeight="1" x14ac:dyDescent="0.25">
      <c r="A2" s="1" t="s">
        <v>4426</v>
      </c>
      <c r="B2" s="1" t="s">
        <v>5768</v>
      </c>
      <c r="C2" s="1" t="s">
        <v>5769</v>
      </c>
      <c r="D2" s="1" t="s">
        <v>5770</v>
      </c>
      <c r="E2" s="1" t="s">
        <v>5771</v>
      </c>
      <c r="F2" s="1" t="s">
        <v>5772</v>
      </c>
      <c r="G2" s="1" t="s">
        <v>4440</v>
      </c>
    </row>
    <row r="3" spans="1:7" ht="30" x14ac:dyDescent="0.25">
      <c r="A3" s="2" t="s">
        <v>70</v>
      </c>
      <c r="B3" s="2">
        <v>279</v>
      </c>
      <c r="C3" s="2">
        <v>278</v>
      </c>
      <c r="D3" s="2">
        <v>1</v>
      </c>
      <c r="E3" s="19">
        <v>3.5842293906810036E-3</v>
      </c>
      <c r="F3" s="2" t="s">
        <v>5773</v>
      </c>
      <c r="G3" s="2" t="s">
        <v>5774</v>
      </c>
    </row>
    <row r="4" spans="1:7" ht="30" x14ac:dyDescent="0.25">
      <c r="A4" s="2" t="s">
        <v>71</v>
      </c>
      <c r="B4" s="2">
        <v>656</v>
      </c>
      <c r="C4" s="2">
        <v>648</v>
      </c>
      <c r="D4" s="2">
        <v>8</v>
      </c>
      <c r="E4" s="19">
        <v>1.2195121951219513E-2</v>
      </c>
      <c r="F4" s="2" t="s">
        <v>5773</v>
      </c>
      <c r="G4" s="2" t="s">
        <v>5774</v>
      </c>
    </row>
    <row r="5" spans="1:7" ht="30" x14ac:dyDescent="0.25">
      <c r="A5" s="2" t="s">
        <v>72</v>
      </c>
      <c r="B5" s="2">
        <v>647</v>
      </c>
      <c r="C5" s="2">
        <v>638</v>
      </c>
      <c r="D5" s="2">
        <v>9</v>
      </c>
      <c r="E5" s="19">
        <v>1.3910355486862442E-2</v>
      </c>
      <c r="F5" s="2" t="s">
        <v>5773</v>
      </c>
      <c r="G5" s="2" t="s">
        <v>5774</v>
      </c>
    </row>
    <row r="6" spans="1:7" ht="30" x14ac:dyDescent="0.25">
      <c r="A6" s="2" t="s">
        <v>73</v>
      </c>
      <c r="B6" s="2">
        <v>535</v>
      </c>
      <c r="C6" s="2">
        <v>534</v>
      </c>
      <c r="D6" s="2">
        <v>1</v>
      </c>
      <c r="E6" s="19">
        <v>1.869158878504673E-3</v>
      </c>
      <c r="F6" s="2" t="s">
        <v>5773</v>
      </c>
      <c r="G6" s="2" t="s">
        <v>5774</v>
      </c>
    </row>
    <row r="7" spans="1:7" ht="30" x14ac:dyDescent="0.25">
      <c r="A7" s="2" t="s">
        <v>74</v>
      </c>
      <c r="B7" s="2">
        <v>578</v>
      </c>
      <c r="C7" s="2">
        <v>563</v>
      </c>
      <c r="D7" s="2">
        <v>15</v>
      </c>
      <c r="E7" s="19">
        <v>2.5951557093425604E-2</v>
      </c>
      <c r="F7" s="2" t="s">
        <v>5773</v>
      </c>
      <c r="G7" s="2" t="s">
        <v>5774</v>
      </c>
    </row>
    <row r="8" spans="1:7" ht="30" x14ac:dyDescent="0.25">
      <c r="A8" s="2" t="s">
        <v>75</v>
      </c>
      <c r="B8" s="2">
        <v>429</v>
      </c>
      <c r="C8" s="2">
        <v>427</v>
      </c>
      <c r="D8" s="2">
        <v>2</v>
      </c>
      <c r="E8" s="19">
        <v>4.662004662004662E-3</v>
      </c>
      <c r="F8" s="2" t="s">
        <v>5773</v>
      </c>
      <c r="G8" s="2" t="s">
        <v>5775</v>
      </c>
    </row>
    <row r="9" spans="1:7" ht="30" x14ac:dyDescent="0.25">
      <c r="A9" s="2" t="s">
        <v>76</v>
      </c>
      <c r="B9" s="2">
        <v>639</v>
      </c>
      <c r="C9" s="2">
        <v>633</v>
      </c>
      <c r="D9" s="2">
        <v>6</v>
      </c>
      <c r="E9" s="19">
        <v>9.3896713615023476E-3</v>
      </c>
      <c r="F9" s="2" t="s">
        <v>5773</v>
      </c>
      <c r="G9" s="2" t="s">
        <v>5774</v>
      </c>
    </row>
    <row r="10" spans="1:7" ht="30" x14ac:dyDescent="0.25">
      <c r="A10" s="2" t="s">
        <v>77</v>
      </c>
      <c r="B10" s="2">
        <v>525</v>
      </c>
      <c r="C10" s="2">
        <v>521</v>
      </c>
      <c r="D10" s="2">
        <v>4</v>
      </c>
      <c r="E10" s="19">
        <v>7.619047619047619E-3</v>
      </c>
      <c r="F10" s="2" t="s">
        <v>5773</v>
      </c>
      <c r="G10" s="2" t="s">
        <v>5774</v>
      </c>
    </row>
    <row r="11" spans="1:7" ht="30" x14ac:dyDescent="0.25">
      <c r="A11" s="2" t="s">
        <v>78</v>
      </c>
      <c r="B11" s="2">
        <v>658</v>
      </c>
      <c r="C11" s="2">
        <v>655</v>
      </c>
      <c r="D11" s="2">
        <v>3</v>
      </c>
      <c r="E11" s="19">
        <v>4.559270516717325E-3</v>
      </c>
      <c r="F11" s="2" t="s">
        <v>5773</v>
      </c>
      <c r="G11" s="2" t="s">
        <v>5774</v>
      </c>
    </row>
    <row r="12" spans="1:7" ht="30" x14ac:dyDescent="0.25">
      <c r="A12" s="2" t="s">
        <v>79</v>
      </c>
      <c r="B12" s="2">
        <v>488</v>
      </c>
      <c r="C12" s="2">
        <v>485</v>
      </c>
      <c r="D12" s="2">
        <v>3</v>
      </c>
      <c r="E12" s="19">
        <v>6.1475409836065573E-3</v>
      </c>
      <c r="F12" s="2" t="s">
        <v>5773</v>
      </c>
      <c r="G12" s="2" t="s">
        <v>5774</v>
      </c>
    </row>
    <row r="13" spans="1:7" ht="30" x14ac:dyDescent="0.25">
      <c r="A13" s="2" t="s">
        <v>80</v>
      </c>
      <c r="B13" s="2">
        <v>475</v>
      </c>
      <c r="C13" s="2">
        <v>469</v>
      </c>
      <c r="D13" s="2">
        <v>6</v>
      </c>
      <c r="E13" s="19">
        <v>1.2631578947368421E-2</v>
      </c>
      <c r="F13" s="2" t="s">
        <v>5773</v>
      </c>
      <c r="G13" s="2" t="s">
        <v>5774</v>
      </c>
    </row>
    <row r="14" spans="1:7" ht="30" x14ac:dyDescent="0.25">
      <c r="A14" s="2" t="s">
        <v>81</v>
      </c>
      <c r="B14" s="2">
        <v>494</v>
      </c>
      <c r="C14" s="2">
        <v>485</v>
      </c>
      <c r="D14" s="2">
        <v>9</v>
      </c>
      <c r="E14" s="19">
        <v>1.8218623481781375E-2</v>
      </c>
      <c r="F14" s="2" t="s">
        <v>5773</v>
      </c>
      <c r="G14" s="2" t="s">
        <v>5774</v>
      </c>
    </row>
    <row r="15" spans="1:7" ht="30" x14ac:dyDescent="0.25">
      <c r="A15" s="2" t="s">
        <v>82</v>
      </c>
      <c r="B15" s="2">
        <v>582</v>
      </c>
      <c r="C15" s="2">
        <v>572</v>
      </c>
      <c r="D15" s="2">
        <v>10</v>
      </c>
      <c r="E15" s="19">
        <v>1.7182130584192441E-2</v>
      </c>
      <c r="F15" s="2" t="s">
        <v>5773</v>
      </c>
      <c r="G15" s="2" t="s">
        <v>5774</v>
      </c>
    </row>
    <row r="16" spans="1:7" ht="30" x14ac:dyDescent="0.25">
      <c r="A16" s="2" t="s">
        <v>83</v>
      </c>
      <c r="B16" s="2">
        <v>692</v>
      </c>
      <c r="C16" s="2">
        <v>682</v>
      </c>
      <c r="D16" s="2">
        <v>10</v>
      </c>
      <c r="E16" s="19">
        <v>1.4450867052023121E-2</v>
      </c>
      <c r="F16" s="2" t="s">
        <v>5773</v>
      </c>
      <c r="G16" s="2" t="s">
        <v>5774</v>
      </c>
    </row>
    <row r="17" spans="1:7" ht="30" x14ac:dyDescent="0.25">
      <c r="A17" s="2" t="s">
        <v>84</v>
      </c>
      <c r="B17" s="2">
        <v>703</v>
      </c>
      <c r="C17" s="2">
        <v>693</v>
      </c>
      <c r="D17" s="2">
        <v>10</v>
      </c>
      <c r="E17" s="19">
        <v>1.422475106685633E-2</v>
      </c>
      <c r="F17" s="2" t="s">
        <v>5773</v>
      </c>
      <c r="G17" s="2" t="s">
        <v>5774</v>
      </c>
    </row>
    <row r="18" spans="1:7" ht="30" x14ac:dyDescent="0.25">
      <c r="A18" s="2" t="s">
        <v>85</v>
      </c>
      <c r="B18" s="2">
        <v>698</v>
      </c>
      <c r="C18" s="2">
        <v>675</v>
      </c>
      <c r="D18" s="2">
        <v>23</v>
      </c>
      <c r="E18" s="19">
        <v>3.2951289398280799E-2</v>
      </c>
      <c r="F18" s="2" t="s">
        <v>5773</v>
      </c>
      <c r="G18" s="2" t="s">
        <v>5774</v>
      </c>
    </row>
    <row r="19" spans="1:7" ht="30" x14ac:dyDescent="0.25">
      <c r="A19" s="2" t="s">
        <v>86</v>
      </c>
      <c r="B19" s="2">
        <v>755</v>
      </c>
      <c r="C19" s="2">
        <v>754</v>
      </c>
      <c r="D19" s="2">
        <v>1</v>
      </c>
      <c r="E19" s="19">
        <v>1.3245033112582781E-3</v>
      </c>
      <c r="F19" s="2" t="s">
        <v>5776</v>
      </c>
      <c r="G19" s="2" t="s">
        <v>5774</v>
      </c>
    </row>
    <row r="20" spans="1:7" ht="30" x14ac:dyDescent="0.25">
      <c r="A20" s="2" t="s">
        <v>87</v>
      </c>
      <c r="B20" s="2">
        <v>653</v>
      </c>
      <c r="C20" s="2">
        <v>641</v>
      </c>
      <c r="D20" s="2">
        <v>12</v>
      </c>
      <c r="E20" s="19">
        <v>1.8376722817764167E-2</v>
      </c>
      <c r="F20" s="2" t="s">
        <v>5773</v>
      </c>
      <c r="G20" s="2" t="s">
        <v>5774</v>
      </c>
    </row>
    <row r="21" spans="1:7" ht="30" x14ac:dyDescent="0.25">
      <c r="A21" s="2" t="s">
        <v>88</v>
      </c>
      <c r="B21" s="2">
        <v>735</v>
      </c>
      <c r="C21" s="2">
        <v>723</v>
      </c>
      <c r="D21" s="2">
        <v>12</v>
      </c>
      <c r="E21" s="19">
        <v>1.6326530612244899E-2</v>
      </c>
      <c r="F21" s="2" t="s">
        <v>5773</v>
      </c>
      <c r="G21" s="2" t="s">
        <v>5774</v>
      </c>
    </row>
    <row r="22" spans="1:7" ht="30" x14ac:dyDescent="0.25">
      <c r="A22" s="2" t="s">
        <v>89</v>
      </c>
      <c r="B22" s="2">
        <v>699</v>
      </c>
      <c r="C22" s="2">
        <v>690</v>
      </c>
      <c r="D22" s="2">
        <v>9</v>
      </c>
      <c r="E22" s="19">
        <v>1.2875536480686695E-2</v>
      </c>
      <c r="F22" s="2" t="s">
        <v>5773</v>
      </c>
      <c r="G22" s="2" t="s">
        <v>5774</v>
      </c>
    </row>
    <row r="23" spans="1:7" ht="30" x14ac:dyDescent="0.25">
      <c r="A23" s="2" t="s">
        <v>90</v>
      </c>
      <c r="B23" s="2">
        <v>648</v>
      </c>
      <c r="C23" s="2">
        <v>646</v>
      </c>
      <c r="D23" s="2">
        <v>2</v>
      </c>
      <c r="E23" s="19">
        <v>3.0864197530864196E-3</v>
      </c>
      <c r="F23" s="2" t="s">
        <v>5777</v>
      </c>
      <c r="G23" s="2" t="s">
        <v>5774</v>
      </c>
    </row>
    <row r="24" spans="1:7" ht="30" x14ac:dyDescent="0.25">
      <c r="A24" s="2" t="s">
        <v>91</v>
      </c>
      <c r="B24" s="2">
        <v>653</v>
      </c>
      <c r="C24" s="2">
        <v>644</v>
      </c>
      <c r="D24" s="2">
        <v>9</v>
      </c>
      <c r="E24" s="19">
        <v>1.3782542113323124E-2</v>
      </c>
      <c r="F24" s="2" t="s">
        <v>5773</v>
      </c>
      <c r="G24" s="2" t="s">
        <v>5774</v>
      </c>
    </row>
    <row r="25" spans="1:7" ht="30" x14ac:dyDescent="0.25">
      <c r="A25" s="2" t="s">
        <v>92</v>
      </c>
      <c r="B25" s="2">
        <v>696</v>
      </c>
      <c r="C25" s="2">
        <v>680</v>
      </c>
      <c r="D25" s="2">
        <v>16</v>
      </c>
      <c r="E25" s="19">
        <v>2.2988505747126436E-2</v>
      </c>
      <c r="F25" s="2" t="s">
        <v>5773</v>
      </c>
      <c r="G25" s="2" t="s">
        <v>5774</v>
      </c>
    </row>
    <row r="26" spans="1:7" ht="30" x14ac:dyDescent="0.25">
      <c r="A26" s="2" t="s">
        <v>93</v>
      </c>
      <c r="B26" s="2">
        <v>642</v>
      </c>
      <c r="C26" s="2">
        <v>630</v>
      </c>
      <c r="D26" s="2">
        <v>12</v>
      </c>
      <c r="E26" s="19">
        <v>1.8691588785046728E-2</v>
      </c>
      <c r="F26" s="2" t="s">
        <v>5773</v>
      </c>
      <c r="G26" s="2" t="s">
        <v>5774</v>
      </c>
    </row>
    <row r="27" spans="1:7" ht="30" x14ac:dyDescent="0.25">
      <c r="A27" s="2" t="s">
        <v>94</v>
      </c>
      <c r="B27" s="2">
        <v>618</v>
      </c>
      <c r="C27" s="2">
        <v>613</v>
      </c>
      <c r="D27" s="2">
        <v>5</v>
      </c>
      <c r="E27" s="19">
        <v>8.0906148867313909E-3</v>
      </c>
      <c r="F27" s="2" t="s">
        <v>5773</v>
      </c>
      <c r="G27" s="2" t="s">
        <v>5774</v>
      </c>
    </row>
    <row r="28" spans="1:7" ht="30" x14ac:dyDescent="0.25">
      <c r="A28" s="2" t="s">
        <v>95</v>
      </c>
      <c r="B28" s="2">
        <v>461</v>
      </c>
      <c r="C28" s="2">
        <v>425</v>
      </c>
      <c r="D28" s="2">
        <v>36</v>
      </c>
      <c r="E28" s="19">
        <v>7.8091106290672452E-2</v>
      </c>
      <c r="F28" s="2" t="s">
        <v>5773</v>
      </c>
      <c r="G28" s="2" t="s">
        <v>5774</v>
      </c>
    </row>
    <row r="29" spans="1:7" ht="30" x14ac:dyDescent="0.25">
      <c r="A29" s="2" t="s">
        <v>96</v>
      </c>
      <c r="B29" s="2">
        <v>625</v>
      </c>
      <c r="C29" s="2">
        <v>614</v>
      </c>
      <c r="D29" s="2">
        <v>11</v>
      </c>
      <c r="E29" s="19">
        <v>1.7600000000000001E-2</v>
      </c>
      <c r="F29" s="2" t="s">
        <v>5773</v>
      </c>
      <c r="G29" s="2" t="s">
        <v>5774</v>
      </c>
    </row>
    <row r="30" spans="1:7" ht="30" x14ac:dyDescent="0.25">
      <c r="A30" s="2" t="s">
        <v>97</v>
      </c>
      <c r="B30" s="2">
        <v>677</v>
      </c>
      <c r="C30" s="2">
        <v>665</v>
      </c>
      <c r="D30" s="2">
        <v>12</v>
      </c>
      <c r="E30" s="19">
        <v>1.7725258493353029E-2</v>
      </c>
      <c r="F30" s="2" t="s">
        <v>5773</v>
      </c>
      <c r="G30" s="2" t="s">
        <v>5774</v>
      </c>
    </row>
    <row r="31" spans="1:7" ht="30" x14ac:dyDescent="0.25">
      <c r="A31" s="2" t="s">
        <v>98</v>
      </c>
      <c r="B31" s="2">
        <v>668</v>
      </c>
      <c r="C31" s="2">
        <v>657</v>
      </c>
      <c r="D31" s="2">
        <v>11</v>
      </c>
      <c r="E31" s="19">
        <v>1.6467065868263474E-2</v>
      </c>
      <c r="F31" s="2" t="s">
        <v>5773</v>
      </c>
      <c r="G31" s="2" t="s">
        <v>5774</v>
      </c>
    </row>
    <row r="32" spans="1:7" ht="30" x14ac:dyDescent="0.25">
      <c r="A32" s="2" t="s">
        <v>99</v>
      </c>
      <c r="B32" s="2">
        <v>636</v>
      </c>
      <c r="C32" s="2">
        <v>623</v>
      </c>
      <c r="D32" s="2">
        <v>13</v>
      </c>
      <c r="E32" s="19">
        <v>2.0440251572327043E-2</v>
      </c>
      <c r="F32" s="2" t="s">
        <v>5773</v>
      </c>
      <c r="G32" s="2" t="s">
        <v>5774</v>
      </c>
    </row>
    <row r="33" spans="1:7" ht="30" x14ac:dyDescent="0.25">
      <c r="A33" s="2" t="s">
        <v>100</v>
      </c>
      <c r="B33" s="2" t="s">
        <v>228</v>
      </c>
      <c r="C33" s="2">
        <v>61</v>
      </c>
      <c r="D33" s="2" t="s">
        <v>228</v>
      </c>
      <c r="E33" s="2"/>
      <c r="F33" s="2" t="s">
        <v>5778</v>
      </c>
      <c r="G33" s="2" t="s">
        <v>5779</v>
      </c>
    </row>
  </sheetData>
  <mergeCells count="1">
    <mergeCell ref="A1:G1"/>
  </mergeCells>
  <conditionalFormatting sqref="E3:E3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9" width="22" customWidth="1"/>
    <col min="10" max="10" width="16" customWidth="1"/>
  </cols>
  <sheetData>
    <row r="1" spans="1:10" ht="30" customHeight="1" x14ac:dyDescent="0.25">
      <c r="A1" s="11" t="s">
        <v>4426</v>
      </c>
      <c r="B1" s="11" t="s">
        <v>5780</v>
      </c>
      <c r="C1" s="11" t="s">
        <v>5781</v>
      </c>
      <c r="D1" s="11" t="s">
        <v>5782</v>
      </c>
      <c r="E1" s="11" t="s">
        <v>5783</v>
      </c>
      <c r="F1" s="11" t="s">
        <v>5784</v>
      </c>
      <c r="G1" s="11" t="s">
        <v>4439</v>
      </c>
      <c r="H1" s="11" t="s">
        <v>5772</v>
      </c>
      <c r="I1" s="11"/>
      <c r="J1" s="24" t="str">
        <f>IFERROR(HYPERLINK("#'Sheet Directory'!A1","← Directory"),"← Directory")</f>
        <v>← Directory</v>
      </c>
    </row>
    <row r="2" spans="1:10" ht="75" x14ac:dyDescent="0.25">
      <c r="A2" s="2" t="s">
        <v>82</v>
      </c>
      <c r="B2" s="2" t="s">
        <v>215</v>
      </c>
      <c r="C2" s="2" t="s">
        <v>5785</v>
      </c>
      <c r="D2" s="2" t="s">
        <v>1772</v>
      </c>
      <c r="E2" s="2" t="s">
        <v>5786</v>
      </c>
      <c r="F2" s="2" t="s">
        <v>5787</v>
      </c>
      <c r="G2" s="2" t="s">
        <v>919</v>
      </c>
      <c r="H2" s="2" t="s">
        <v>5788</v>
      </c>
      <c r="I2" s="2"/>
    </row>
    <row r="3" spans="1:10" ht="75" x14ac:dyDescent="0.25">
      <c r="A3" s="2" t="s">
        <v>83</v>
      </c>
      <c r="B3" s="2" t="s">
        <v>215</v>
      </c>
      <c r="C3" s="2" t="s">
        <v>5789</v>
      </c>
      <c r="D3" s="2" t="s">
        <v>771</v>
      </c>
      <c r="E3" s="2" t="s">
        <v>1079</v>
      </c>
      <c r="F3" s="2" t="s">
        <v>5790</v>
      </c>
      <c r="G3" s="2" t="s">
        <v>919</v>
      </c>
      <c r="H3" s="2" t="s">
        <v>5788</v>
      </c>
      <c r="I3" s="2"/>
    </row>
    <row r="4" spans="1:10" ht="75" x14ac:dyDescent="0.25">
      <c r="A4" s="2" t="s">
        <v>84</v>
      </c>
      <c r="B4" s="2" t="s">
        <v>215</v>
      </c>
      <c r="C4" s="2" t="s">
        <v>5791</v>
      </c>
      <c r="D4" s="2" t="s">
        <v>4629</v>
      </c>
      <c r="E4" s="2" t="s">
        <v>5792</v>
      </c>
      <c r="F4" s="2" t="s">
        <v>5793</v>
      </c>
      <c r="G4" s="2" t="s">
        <v>919</v>
      </c>
      <c r="H4" s="2" t="s">
        <v>5788</v>
      </c>
      <c r="I4" s="2"/>
    </row>
    <row r="5" spans="1:10" ht="75" x14ac:dyDescent="0.25">
      <c r="A5" s="2" t="s">
        <v>85</v>
      </c>
      <c r="B5" s="2" t="s">
        <v>215</v>
      </c>
      <c r="C5" s="2" t="s">
        <v>5789</v>
      </c>
      <c r="D5" s="2" t="s">
        <v>4632</v>
      </c>
      <c r="E5" s="2" t="s">
        <v>5786</v>
      </c>
      <c r="F5" s="2" t="s">
        <v>5509</v>
      </c>
      <c r="G5" s="2" t="s">
        <v>919</v>
      </c>
      <c r="H5" s="2" t="s">
        <v>5788</v>
      </c>
      <c r="I5" s="2"/>
    </row>
    <row r="6" spans="1:10" ht="75" x14ac:dyDescent="0.25">
      <c r="A6" s="2" t="s">
        <v>86</v>
      </c>
      <c r="B6" s="2" t="s">
        <v>215</v>
      </c>
      <c r="C6" s="2" t="s">
        <v>5536</v>
      </c>
      <c r="D6" s="2" t="s">
        <v>4634</v>
      </c>
      <c r="E6" s="2" t="s">
        <v>5794</v>
      </c>
      <c r="F6" s="2" t="s">
        <v>5795</v>
      </c>
      <c r="G6" s="2" t="s">
        <v>919</v>
      </c>
      <c r="H6" s="2" t="s">
        <v>5788</v>
      </c>
      <c r="I6" s="2"/>
    </row>
    <row r="7" spans="1:10" ht="75" x14ac:dyDescent="0.25">
      <c r="A7" s="2" t="s">
        <v>87</v>
      </c>
      <c r="B7" s="2" t="s">
        <v>215</v>
      </c>
      <c r="C7" s="2" t="s">
        <v>5785</v>
      </c>
      <c r="D7" s="2" t="s">
        <v>5796</v>
      </c>
      <c r="E7" s="2" t="s">
        <v>1079</v>
      </c>
      <c r="F7" s="2" t="s">
        <v>5797</v>
      </c>
      <c r="G7" s="2" t="s">
        <v>919</v>
      </c>
      <c r="H7" s="2" t="s">
        <v>5788</v>
      </c>
      <c r="I7" s="2"/>
    </row>
    <row r="8" spans="1:10" ht="75" x14ac:dyDescent="0.25">
      <c r="A8" s="2" t="s">
        <v>88</v>
      </c>
      <c r="B8" s="2" t="s">
        <v>215</v>
      </c>
      <c r="C8" s="2" t="s">
        <v>5798</v>
      </c>
      <c r="D8" s="2" t="s">
        <v>4641</v>
      </c>
      <c r="E8" s="2" t="s">
        <v>127</v>
      </c>
      <c r="F8" s="2" t="s">
        <v>5799</v>
      </c>
      <c r="G8" s="2" t="s">
        <v>919</v>
      </c>
      <c r="H8" s="2" t="s">
        <v>5788</v>
      </c>
      <c r="I8" s="2"/>
    </row>
    <row r="9" spans="1:10" ht="75" x14ac:dyDescent="0.25">
      <c r="A9" s="2" t="s">
        <v>89</v>
      </c>
      <c r="B9" s="2" t="s">
        <v>215</v>
      </c>
      <c r="C9" s="2" t="s">
        <v>5800</v>
      </c>
      <c r="D9" s="2" t="s">
        <v>5543</v>
      </c>
      <c r="E9" s="2" t="s">
        <v>5801</v>
      </c>
      <c r="F9" s="2" t="s">
        <v>5802</v>
      </c>
      <c r="G9" s="2" t="s">
        <v>919</v>
      </c>
      <c r="H9" s="2" t="s">
        <v>5788</v>
      </c>
      <c r="I9" s="2"/>
    </row>
    <row r="10" spans="1:10" ht="30" x14ac:dyDescent="0.25">
      <c r="A10" s="2" t="s">
        <v>90</v>
      </c>
      <c r="B10" s="2" t="s">
        <v>215</v>
      </c>
      <c r="C10" s="2" t="s">
        <v>5803</v>
      </c>
      <c r="D10" s="2" t="s">
        <v>2429</v>
      </c>
      <c r="E10" s="2" t="s">
        <v>2581</v>
      </c>
      <c r="F10" s="2" t="s">
        <v>5804</v>
      </c>
      <c r="G10" s="2" t="s">
        <v>919</v>
      </c>
      <c r="H10" s="2" t="s">
        <v>5788</v>
      </c>
      <c r="I10" s="2"/>
    </row>
    <row r="11" spans="1:10" ht="75" x14ac:dyDescent="0.25">
      <c r="A11" s="2" t="s">
        <v>91</v>
      </c>
      <c r="B11" s="2" t="s">
        <v>215</v>
      </c>
      <c r="C11" s="2" t="s">
        <v>5805</v>
      </c>
      <c r="D11" s="2" t="s">
        <v>2413</v>
      </c>
      <c r="E11" s="2" t="s">
        <v>923</v>
      </c>
      <c r="F11" s="2" t="s">
        <v>5806</v>
      </c>
      <c r="G11" s="2" t="s">
        <v>919</v>
      </c>
      <c r="H11" s="2" t="s">
        <v>5788</v>
      </c>
      <c r="I11" s="2"/>
    </row>
    <row r="12" spans="1:10" ht="75" x14ac:dyDescent="0.25">
      <c r="A12" s="2" t="s">
        <v>92</v>
      </c>
      <c r="B12" s="2" t="s">
        <v>215</v>
      </c>
      <c r="C12" s="2" t="s">
        <v>5807</v>
      </c>
      <c r="D12" s="2" t="s">
        <v>776</v>
      </c>
      <c r="E12" s="2" t="s">
        <v>5808</v>
      </c>
      <c r="F12" s="2" t="s">
        <v>5809</v>
      </c>
      <c r="G12" s="2" t="s">
        <v>919</v>
      </c>
      <c r="H12" s="2" t="s">
        <v>5788</v>
      </c>
      <c r="I12" s="2"/>
    </row>
    <row r="13" spans="1:10" ht="75" x14ac:dyDescent="0.25">
      <c r="A13" s="2" t="s">
        <v>93</v>
      </c>
      <c r="B13" s="2" t="s">
        <v>215</v>
      </c>
      <c r="C13" s="2" t="s">
        <v>5554</v>
      </c>
      <c r="D13" s="2" t="s">
        <v>777</v>
      </c>
      <c r="E13" s="2" t="s">
        <v>5794</v>
      </c>
      <c r="F13" s="2" t="s">
        <v>5810</v>
      </c>
      <c r="G13" s="2" t="s">
        <v>919</v>
      </c>
      <c r="H13" s="2" t="s">
        <v>5788</v>
      </c>
      <c r="I13" s="2"/>
    </row>
    <row r="14" spans="1:10" ht="75" x14ac:dyDescent="0.25">
      <c r="A14" s="2" t="s">
        <v>94</v>
      </c>
      <c r="B14" s="2" t="s">
        <v>215</v>
      </c>
      <c r="C14" s="2" t="s">
        <v>5811</v>
      </c>
      <c r="D14" s="2" t="s">
        <v>4668</v>
      </c>
      <c r="E14" s="2" t="s">
        <v>5808</v>
      </c>
      <c r="F14" s="2" t="s">
        <v>5797</v>
      </c>
      <c r="G14" s="2" t="s">
        <v>919</v>
      </c>
      <c r="H14" s="2" t="s">
        <v>5788</v>
      </c>
      <c r="I14" s="2"/>
    </row>
    <row r="15" spans="1:10" ht="75" x14ac:dyDescent="0.25">
      <c r="A15" s="2" t="s">
        <v>95</v>
      </c>
      <c r="B15" s="2" t="s">
        <v>215</v>
      </c>
      <c r="C15" s="2" t="s">
        <v>5807</v>
      </c>
      <c r="D15" s="2" t="s">
        <v>5562</v>
      </c>
      <c r="E15" s="2" t="s">
        <v>5812</v>
      </c>
      <c r="F15" s="2" t="s">
        <v>5509</v>
      </c>
      <c r="G15" s="2" t="s">
        <v>919</v>
      </c>
      <c r="H15" s="2" t="s">
        <v>5788</v>
      </c>
      <c r="I15" s="2"/>
    </row>
    <row r="16" spans="1:10" ht="75" x14ac:dyDescent="0.25">
      <c r="A16" s="2" t="s">
        <v>96</v>
      </c>
      <c r="B16" s="2" t="s">
        <v>215</v>
      </c>
      <c r="C16" s="2" t="s">
        <v>5807</v>
      </c>
      <c r="D16" s="2" t="s">
        <v>1961</v>
      </c>
      <c r="E16" s="2" t="s">
        <v>129</v>
      </c>
      <c r="F16" s="2" t="s">
        <v>5790</v>
      </c>
      <c r="G16" s="2" t="s">
        <v>919</v>
      </c>
      <c r="H16" s="2" t="s">
        <v>5788</v>
      </c>
      <c r="I16" s="2"/>
    </row>
    <row r="17" spans="1:9" ht="75" x14ac:dyDescent="0.25">
      <c r="A17" s="2" t="s">
        <v>97</v>
      </c>
      <c r="B17" s="2" t="s">
        <v>215</v>
      </c>
      <c r="C17" s="2" t="s">
        <v>5813</v>
      </c>
      <c r="D17" s="2" t="s">
        <v>4686</v>
      </c>
      <c r="E17" s="2" t="s">
        <v>5814</v>
      </c>
      <c r="F17" s="2" t="s">
        <v>5815</v>
      </c>
      <c r="G17" s="2" t="s">
        <v>919</v>
      </c>
      <c r="H17" s="2" t="s">
        <v>5788</v>
      </c>
      <c r="I17" s="2"/>
    </row>
    <row r="18" spans="1:9" ht="30" x14ac:dyDescent="0.25">
      <c r="A18" s="2" t="s">
        <v>98</v>
      </c>
      <c r="B18" s="2" t="s">
        <v>215</v>
      </c>
      <c r="C18" s="2" t="s">
        <v>5803</v>
      </c>
      <c r="D18" s="2" t="s">
        <v>5744</v>
      </c>
      <c r="E18" s="2" t="s">
        <v>127</v>
      </c>
      <c r="F18" s="2" t="s">
        <v>5790</v>
      </c>
      <c r="G18" s="2" t="s">
        <v>919</v>
      </c>
      <c r="H18" s="2" t="s">
        <v>5788</v>
      </c>
      <c r="I18" s="2"/>
    </row>
    <row r="19" spans="1:9" ht="30" x14ac:dyDescent="0.25">
      <c r="A19" s="2" t="s">
        <v>99</v>
      </c>
      <c r="B19" s="2" t="s">
        <v>215</v>
      </c>
      <c r="C19" s="2" t="s">
        <v>5803</v>
      </c>
      <c r="D19" s="2" t="s">
        <v>1962</v>
      </c>
      <c r="E19" s="2" t="s">
        <v>5792</v>
      </c>
      <c r="F19" s="2" t="s">
        <v>5816</v>
      </c>
      <c r="G19" s="2" t="s">
        <v>919</v>
      </c>
      <c r="H19" s="2" t="s">
        <v>5788</v>
      </c>
      <c r="I19" s="2"/>
    </row>
    <row r="20" spans="1:9" ht="75" x14ac:dyDescent="0.25">
      <c r="A20" s="2" t="s">
        <v>5817</v>
      </c>
      <c r="B20" s="2" t="s">
        <v>5818</v>
      </c>
      <c r="C20" s="2" t="s">
        <v>5785</v>
      </c>
      <c r="D20" s="2" t="s">
        <v>866</v>
      </c>
      <c r="E20" s="2" t="s">
        <v>2581</v>
      </c>
      <c r="F20" s="2" t="s">
        <v>5819</v>
      </c>
      <c r="G20" s="2" t="s">
        <v>919</v>
      </c>
      <c r="H20" s="2" t="s">
        <v>5820</v>
      </c>
      <c r="I20" s="2"/>
    </row>
    <row r="21" spans="1:9" ht="75" x14ac:dyDescent="0.25">
      <c r="A21" s="2" t="s">
        <v>4518</v>
      </c>
      <c r="B21" s="2" t="s">
        <v>5818</v>
      </c>
      <c r="C21" s="2" t="s">
        <v>5789</v>
      </c>
      <c r="D21" s="2" t="s">
        <v>866</v>
      </c>
      <c r="E21" s="2" t="s">
        <v>5821</v>
      </c>
      <c r="F21" s="2" t="s">
        <v>5822</v>
      </c>
      <c r="G21" s="2" t="s">
        <v>919</v>
      </c>
      <c r="H21" s="2" t="s">
        <v>5820</v>
      </c>
      <c r="I21" s="2"/>
    </row>
    <row r="22" spans="1:9" ht="75" x14ac:dyDescent="0.25">
      <c r="A22" s="2" t="s">
        <v>5823</v>
      </c>
      <c r="B22" s="2" t="s">
        <v>5824</v>
      </c>
      <c r="C22" s="2" t="s">
        <v>5789</v>
      </c>
      <c r="D22" s="2" t="s">
        <v>5825</v>
      </c>
      <c r="E22" s="2" t="s">
        <v>5826</v>
      </c>
      <c r="F22" s="2" t="s">
        <v>5827</v>
      </c>
      <c r="G22" s="2" t="s">
        <v>919</v>
      </c>
      <c r="H22" s="2" t="s">
        <v>5788</v>
      </c>
      <c r="I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Sheet Directory</vt:lpstr>
      <vt:lpstr>At a Glance</vt:lpstr>
      <vt:lpstr>Comparison Guide</vt:lpstr>
      <vt:lpstr>Core Features</vt:lpstr>
      <vt:lpstr>Basic Features</vt:lpstr>
      <vt:lpstr>Advanced Features</vt:lpstr>
      <vt:lpstr>Channel Types</vt:lpstr>
      <vt:lpstr>Extra Features</vt:lpstr>
      <vt:lpstr>Embedded Apps</vt:lpstr>
      <vt:lpstr>Community Limits</vt:lpstr>
      <vt:lpstr>Voice &amp; Audio</vt:lpstr>
      <vt:lpstr>Voice Quality Detail</vt:lpstr>
      <vt:lpstr>Video &amp; Screen Sharing</vt:lpstr>
      <vt:lpstr>Screen Share Detail</vt:lpstr>
      <vt:lpstr>Media &amp; Limits</vt:lpstr>
      <vt:lpstr>Files &amp; Storage</vt:lpstr>
      <vt:lpstr>Platform Model &amp; Ecosystem</vt:lpstr>
      <vt:lpstr>Architecture &amp; Licensing</vt:lpstr>
      <vt:lpstr>Deployment Detail</vt:lpstr>
      <vt:lpstr>Client &amp; Distribution</vt:lpstr>
      <vt:lpstr>Performance &amp; Client Stack</vt:lpstr>
      <vt:lpstr>Accounts &amp; Identity</vt:lpstr>
      <vt:lpstr>Portability &amp; Bridging</vt:lpstr>
      <vt:lpstr>Interop &amp; Portability Details</vt:lpstr>
      <vt:lpstr>Security &amp; Privacy</vt:lpstr>
      <vt:lpstr>Encryption Details</vt:lpstr>
      <vt:lpstr>Security Matrix</vt:lpstr>
      <vt:lpstr>Security History &amp; Audits</vt:lpstr>
      <vt:lpstr>Moderation &amp; Safety</vt:lpstr>
      <vt:lpstr>Moderation Detail</vt:lpstr>
      <vt:lpstr>Project Origin &amp; Longevity</vt:lpstr>
      <vt:lpstr>Project &amp; Maintenance</vt:lpstr>
      <vt:lpstr>Maintenance &amp; Updates</vt:lpstr>
      <vt:lpstr>Developer Extensibility</vt:lpstr>
      <vt:lpstr>Developer API Detail</vt:lpstr>
      <vt:lpstr>AI Policy &amp; Transparency</vt:lpstr>
      <vt:lpstr>AI &amp; Data Use Detail</vt:lpstr>
      <vt:lpstr>Business Model &amp; Sustainability</vt:lpstr>
      <vt:lpstr>Pricing Summary</vt:lpstr>
      <vt:lpstr>Pricing &amp; Tiers</vt:lpstr>
      <vt:lpstr>Feature Entitlements</vt:lpstr>
      <vt:lpstr>Monetization Detail</vt:lpstr>
      <vt:lpstr>Terms &amp; Privacy</vt:lpstr>
      <vt:lpstr>Discord Sources</vt:lpstr>
      <vt:lpstr>Research Sources</vt:lpstr>
      <vt:lpstr>Website Links</vt:lpstr>
      <vt:lpstr>Verification Coverage</vt:lpstr>
      <vt:lpstr>Subreddit 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Emily McMahon</cp:lastModifiedBy>
  <dcterms:created xsi:type="dcterms:W3CDTF">2026-09-16T01:23:38Z</dcterms:created>
  <dcterms:modified xsi:type="dcterms:W3CDTF">2026-09-16T03:17:21Z</dcterms:modified>
</cp:coreProperties>
</file>